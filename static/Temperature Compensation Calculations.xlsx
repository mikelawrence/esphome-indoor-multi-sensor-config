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bea68e6fe8af7b/Documents/GitHub/esphome-indoor-multi-sensor-config/static/"/>
    </mc:Choice>
  </mc:AlternateContent>
  <xr:revisionPtr revIDLastSave="369" documentId="8_{006A8A4B-11BC-4316-8792-06C51F15C628}" xr6:coauthVersionLast="47" xr6:coauthVersionMax="47" xr10:uidLastSave="{38BEFD60-F0D7-401C-B80D-7010B970E62A}"/>
  <bookViews>
    <workbookView xWindow="-110" yWindow="-110" windowWidth="25820" windowHeight="13900" xr2:uid="{AA3221ED-97D5-4F91-A75B-DF7A6E798DB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0" i="1" l="1"/>
  <c r="L70" i="1"/>
  <c r="I70" i="1"/>
  <c r="F70" i="1"/>
  <c r="O85" i="1"/>
  <c r="L85" i="1"/>
  <c r="I85" i="1"/>
  <c r="F85" i="1"/>
  <c r="C115" i="1"/>
  <c r="F115" i="1"/>
  <c r="I115" i="1"/>
  <c r="L115" i="1"/>
  <c r="O115" i="1"/>
  <c r="O100" i="1"/>
  <c r="L100" i="1"/>
  <c r="I100" i="1"/>
  <c r="F100" i="1"/>
  <c r="F98" i="1"/>
  <c r="O114" i="1"/>
  <c r="L114" i="1"/>
  <c r="I114" i="1"/>
  <c r="F114" i="1"/>
  <c r="C114" i="1"/>
  <c r="O113" i="1"/>
  <c r="O116" i="1" s="1"/>
  <c r="L113" i="1"/>
  <c r="L116" i="1" s="1"/>
  <c r="I113" i="1"/>
  <c r="I116" i="1" s="1"/>
  <c r="F113" i="1"/>
  <c r="F116" i="1" s="1"/>
  <c r="C113" i="1"/>
  <c r="C100" i="1"/>
  <c r="O99" i="1"/>
  <c r="L99" i="1"/>
  <c r="I99" i="1"/>
  <c r="F99" i="1"/>
  <c r="C99" i="1"/>
  <c r="O98" i="1"/>
  <c r="O101" i="1" s="1"/>
  <c r="L98" i="1"/>
  <c r="L101" i="1" s="1"/>
  <c r="I98" i="1"/>
  <c r="I101" i="1" s="1"/>
  <c r="F101" i="1"/>
  <c r="C98" i="1"/>
  <c r="C101" i="1" s="1"/>
  <c r="C70" i="1"/>
  <c r="C85" i="1"/>
  <c r="O84" i="1"/>
  <c r="L84" i="1"/>
  <c r="I84" i="1"/>
  <c r="F84" i="1"/>
  <c r="C84" i="1"/>
  <c r="O83" i="1"/>
  <c r="O86" i="1" s="1"/>
  <c r="L83" i="1"/>
  <c r="L86" i="1" s="1"/>
  <c r="I83" i="1"/>
  <c r="I86" i="1" s="1"/>
  <c r="F83" i="1"/>
  <c r="F86" i="1" s="1"/>
  <c r="C83" i="1"/>
  <c r="O69" i="1"/>
  <c r="L69" i="1"/>
  <c r="I69" i="1"/>
  <c r="F69" i="1"/>
  <c r="C69" i="1"/>
  <c r="O68" i="1"/>
  <c r="O71" i="1" s="1"/>
  <c r="L68" i="1"/>
  <c r="L71" i="1" s="1"/>
  <c r="I68" i="1"/>
  <c r="I71" i="1" s="1"/>
  <c r="F68" i="1"/>
  <c r="F71" i="1" s="1"/>
  <c r="C68" i="1"/>
  <c r="O53" i="1"/>
  <c r="L53" i="1"/>
  <c r="I53" i="1"/>
  <c r="F53" i="1"/>
  <c r="C53" i="1"/>
  <c r="O52" i="1"/>
  <c r="L52" i="1"/>
  <c r="I52" i="1"/>
  <c r="F52" i="1"/>
  <c r="C52" i="1"/>
  <c r="O51" i="1"/>
  <c r="L51" i="1"/>
  <c r="I51" i="1"/>
  <c r="F51" i="1"/>
  <c r="F54" i="1" s="1"/>
  <c r="F55" i="1" s="1"/>
  <c r="C51" i="1"/>
  <c r="O39" i="1"/>
  <c r="L39" i="1"/>
  <c r="I39" i="1"/>
  <c r="F39" i="1"/>
  <c r="C39" i="1"/>
  <c r="O38" i="1"/>
  <c r="L38" i="1"/>
  <c r="I38" i="1"/>
  <c r="F38" i="1"/>
  <c r="C38" i="1"/>
  <c r="O37" i="1"/>
  <c r="O40" i="1" s="1"/>
  <c r="L37" i="1"/>
  <c r="I37" i="1"/>
  <c r="I40" i="1" s="1"/>
  <c r="F37" i="1"/>
  <c r="F40" i="1" s="1"/>
  <c r="C37" i="1"/>
  <c r="I25" i="1"/>
  <c r="I24" i="1"/>
  <c r="I23" i="1"/>
  <c r="C25" i="1"/>
  <c r="C24" i="1"/>
  <c r="C23" i="1"/>
  <c r="C11" i="1"/>
  <c r="C10" i="1"/>
  <c r="C9" i="1"/>
  <c r="F25" i="1"/>
  <c r="F24" i="1"/>
  <c r="F23" i="1"/>
  <c r="F11" i="1"/>
  <c r="F10" i="1"/>
  <c r="F9" i="1"/>
  <c r="F12" i="1" s="1"/>
  <c r="L25" i="1"/>
  <c r="O25" i="1"/>
  <c r="O11" i="1"/>
  <c r="L11" i="1"/>
  <c r="I11" i="1"/>
  <c r="L23" i="1"/>
  <c r="L24" i="1"/>
  <c r="O23" i="1"/>
  <c r="O24" i="1"/>
  <c r="O10" i="1"/>
  <c r="O9" i="1"/>
  <c r="L10" i="1"/>
  <c r="L9" i="1"/>
  <c r="I10" i="1"/>
  <c r="I9" i="1"/>
  <c r="C116" i="1" l="1"/>
  <c r="C117" i="1" s="1"/>
  <c r="O117" i="1"/>
  <c r="I117" i="1"/>
  <c r="F117" i="1"/>
  <c r="L117" i="1"/>
  <c r="O102" i="1"/>
  <c r="L102" i="1"/>
  <c r="I102" i="1"/>
  <c r="F102" i="1"/>
  <c r="C102" i="1"/>
  <c r="L40" i="1"/>
  <c r="L41" i="1" s="1"/>
  <c r="C86" i="1"/>
  <c r="C87" i="1" s="1"/>
  <c r="O87" i="1"/>
  <c r="L87" i="1"/>
  <c r="I87" i="1"/>
  <c r="F87" i="1"/>
  <c r="C71" i="1"/>
  <c r="C72" i="1" s="1"/>
  <c r="O72" i="1"/>
  <c r="L72" i="1"/>
  <c r="I72" i="1"/>
  <c r="F72" i="1"/>
  <c r="C54" i="1"/>
  <c r="C55" i="1" s="1"/>
  <c r="O54" i="1"/>
  <c r="O55" i="1" s="1"/>
  <c r="L54" i="1"/>
  <c r="L55" i="1" s="1"/>
  <c r="I54" i="1"/>
  <c r="I55" i="1"/>
  <c r="C40" i="1"/>
  <c r="C41" i="1" s="1"/>
  <c r="O41" i="1"/>
  <c r="I41" i="1"/>
  <c r="F41" i="1"/>
  <c r="I26" i="1"/>
  <c r="I27" i="1" s="1"/>
  <c r="C26" i="1"/>
  <c r="C27" i="1" s="1"/>
  <c r="C12" i="1"/>
  <c r="C13" i="1" s="1"/>
  <c r="F26" i="1"/>
  <c r="F27" i="1" s="1"/>
  <c r="I12" i="1"/>
  <c r="I13" i="1" s="1"/>
  <c r="F13" i="1"/>
  <c r="L26" i="1"/>
  <c r="L27" i="1" s="1"/>
  <c r="O26" i="1"/>
  <c r="O27" i="1" s="1"/>
  <c r="O12" i="1"/>
  <c r="O13" i="1" s="1"/>
  <c r="L12" i="1"/>
  <c r="L13" i="1" s="1"/>
</calcChain>
</file>

<file path=xl/sharedStrings.xml><?xml version="1.0" encoding="utf-8"?>
<sst xmlns="http://schemas.openxmlformats.org/spreadsheetml/2006/main" count="550" uniqueCount="27">
  <si>
    <t>Description</t>
  </si>
  <si>
    <t>Value</t>
  </si>
  <si>
    <t>Slope</t>
  </si>
  <si>
    <t>LD2410</t>
  </si>
  <si>
    <t>LD2410S</t>
  </si>
  <si>
    <t>C4001</t>
  </si>
  <si>
    <t>LD2450</t>
  </si>
  <si>
    <t>None</t>
  </si>
  <si>
    <t>Middle Mount</t>
  </si>
  <si>
    <t>Temp 63%</t>
  </si>
  <si>
    <t>Offset</t>
  </si>
  <si>
    <t>Time Constant</t>
  </si>
  <si>
    <t>Offset Low</t>
  </si>
  <si>
    <t>Offset High</t>
  </si>
  <si>
    <t>Tsht45 Low</t>
  </si>
  <si>
    <t>Tsht45 High</t>
  </si>
  <si>
    <t>Tsen6x Low</t>
  </si>
  <si>
    <t>Tsen6x High</t>
  </si>
  <si>
    <t>SEN66 Calibration Results</t>
  </si>
  <si>
    <t>Original Corner Mount</t>
  </si>
  <si>
    <t>Wallplate Down</t>
  </si>
  <si>
    <t>Wallplate Right</t>
  </si>
  <si>
    <t>New stuff now</t>
  </si>
  <si>
    <t>Wallplate Left</t>
  </si>
  <si>
    <t>Tsht45 Start</t>
  </si>
  <si>
    <t>Wallplate Center</t>
  </si>
  <si>
    <t>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</si>
</sst>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8"/>
      <color theme="1"/>
      <name val="Aptos Display"/>
      <family val="2"/>
      <scheme val="major"/>
    </font>
    <font>
      <b/>
      <i/>
      <sz val="22"/>
      <color theme="1"/>
      <name val="Aptos Display"/>
      <family val="2"/>
      <scheme val="maj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2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/>
    <xf numFmtId="2" fontId="3" fillId="0" borderId="6" xfId="1" applyNumberFormat="1" applyFont="1" applyBorder="1" applyAlignment="1">
      <alignment horizontal="center"/>
    </xf>
    <xf numFmtId="2" fontId="0" fillId="0" borderId="5" xfId="1" applyNumberFormat="1" applyFont="1" applyBorder="1" applyProtection="1">
      <protection locked="0"/>
    </xf>
    <xf numFmtId="0" fontId="4" fillId="0" borderId="0" xfId="0" applyFont="1"/>
    <xf numFmtId="0" fontId="0" fillId="2" borderId="4" xfId="0" applyFill="1" applyBorder="1"/>
    <xf numFmtId="164" fontId="0" fillId="2" borderId="5" xfId="1" applyNumberFormat="1" applyFont="1" applyFill="1" applyBorder="1"/>
    <xf numFmtId="2" fontId="0" fillId="2" borderId="5" xfId="1" applyNumberFormat="1" applyFont="1" applyFill="1" applyBorder="1"/>
    <xf numFmtId="0" fontId="0" fillId="2" borderId="3" xfId="0" applyFill="1" applyBorder="1"/>
    <xf numFmtId="2" fontId="0" fillId="2" borderId="6" xfId="1" applyNumberFormat="1" applyFont="1" applyFill="1" applyBorder="1" applyProtection="1">
      <protection locked="0"/>
    </xf>
    <xf numFmtId="0" fontId="0" fillId="3" borderId="4" xfId="0" applyFill="1" applyBorder="1"/>
    <xf numFmtId="2" fontId="0" fillId="3" borderId="5" xfId="1" applyNumberFormat="1" applyFont="1" applyFill="1" applyBorder="1"/>
    <xf numFmtId="0" fontId="0" fillId="4" borderId="4" xfId="0" applyFill="1" applyBorder="1"/>
    <xf numFmtId="2" fontId="0" fillId="4" borderId="5" xfId="1" applyNumberFormat="1" applyFont="1" applyFill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DBF6-58FC-4195-8BAA-16181F913C1A}">
  <dimension ref="B1:P119"/>
  <sheetViews>
    <sheetView tabSelected="1" topLeftCell="A86" workbookViewId="0">
      <selection activeCell="D91" sqref="D91"/>
    </sheetView>
  </sheetViews>
  <sheetFormatPr defaultRowHeight="14.5" x14ac:dyDescent="0.35"/>
  <cols>
    <col min="2" max="2" width="15.6328125" customWidth="1"/>
    <col min="3" max="3" width="9.1796875" style="1" bestFit="1" customWidth="1"/>
    <col min="5" max="5" width="15.6328125" customWidth="1"/>
    <col min="6" max="6" width="9.1796875" style="1" bestFit="1" customWidth="1"/>
    <col min="8" max="8" width="15.6328125" customWidth="1"/>
    <col min="9" max="9" width="9.1796875" style="1" bestFit="1" customWidth="1"/>
    <col min="11" max="11" width="15.6328125" customWidth="1"/>
    <col min="12" max="12" width="9.1796875" style="1" bestFit="1" customWidth="1"/>
    <col min="14" max="14" width="15.6328125" customWidth="1"/>
    <col min="15" max="15" width="9.1796875" style="1" bestFit="1" customWidth="1"/>
  </cols>
  <sheetData>
    <row r="1" spans="2:16" ht="28.5" x14ac:dyDescent="0.65">
      <c r="B1" s="21" t="s">
        <v>18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2:16" ht="24" thickBot="1" x14ac:dyDescent="0.6">
      <c r="B2" s="18" t="s">
        <v>19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"/>
    </row>
    <row r="3" spans="2:16" ht="16.5" thickTop="1" x14ac:dyDescent="0.4">
      <c r="B3" s="19" t="s">
        <v>7</v>
      </c>
      <c r="C3" s="20"/>
      <c r="E3" s="19" t="s">
        <v>3</v>
      </c>
      <c r="F3" s="20"/>
      <c r="H3" s="19" t="s">
        <v>4</v>
      </c>
      <c r="I3" s="20"/>
      <c r="J3" s="2"/>
      <c r="K3" s="19" t="s">
        <v>6</v>
      </c>
      <c r="L3" s="20"/>
      <c r="M3" s="2"/>
      <c r="N3" s="19" t="s">
        <v>5</v>
      </c>
      <c r="O3" s="20"/>
      <c r="P3" s="2"/>
    </row>
    <row r="4" spans="2:16" ht="16.5" thickBot="1" x14ac:dyDescent="0.45">
      <c r="B4" s="4" t="s">
        <v>0</v>
      </c>
      <c r="C4" s="6" t="s">
        <v>1</v>
      </c>
      <c r="E4" s="4" t="s">
        <v>0</v>
      </c>
      <c r="F4" s="6" t="s">
        <v>1</v>
      </c>
      <c r="H4" s="4" t="s">
        <v>0</v>
      </c>
      <c r="I4" s="6" t="s">
        <v>1</v>
      </c>
      <c r="J4" s="3"/>
      <c r="K4" s="4" t="s">
        <v>0</v>
      </c>
      <c r="L4" s="6" t="s">
        <v>1</v>
      </c>
      <c r="M4" s="3"/>
      <c r="N4" s="4" t="s">
        <v>0</v>
      </c>
      <c r="O4" s="6" t="s">
        <v>1</v>
      </c>
      <c r="P4" s="3"/>
    </row>
    <row r="5" spans="2:16" ht="15" thickTop="1" x14ac:dyDescent="0.35">
      <c r="B5" s="5" t="s">
        <v>17</v>
      </c>
      <c r="C5" s="7">
        <v>37.409999999999997</v>
      </c>
      <c r="E5" s="5" t="s">
        <v>17</v>
      </c>
      <c r="F5" s="7">
        <v>37.380000000000003</v>
      </c>
      <c r="H5" s="5" t="s">
        <v>17</v>
      </c>
      <c r="I5" s="7">
        <v>37.130000000000003</v>
      </c>
      <c r="K5" s="5" t="s">
        <v>17</v>
      </c>
      <c r="L5" s="7">
        <v>37.97</v>
      </c>
      <c r="N5" s="5" t="s">
        <v>17</v>
      </c>
      <c r="O5" s="7">
        <v>36.880000000000003</v>
      </c>
    </row>
    <row r="6" spans="2:16" x14ac:dyDescent="0.35">
      <c r="B6" s="5" t="s">
        <v>16</v>
      </c>
      <c r="C6" s="7">
        <v>28.68</v>
      </c>
      <c r="E6" s="5" t="s">
        <v>16</v>
      </c>
      <c r="F6" s="7">
        <v>28.9</v>
      </c>
      <c r="H6" s="5" t="s">
        <v>16</v>
      </c>
      <c r="I6" s="7">
        <v>28.36</v>
      </c>
      <c r="K6" s="5" t="s">
        <v>16</v>
      </c>
      <c r="L6" s="7">
        <v>29.32</v>
      </c>
      <c r="N6" s="5" t="s">
        <v>16</v>
      </c>
      <c r="O6" s="7">
        <v>27.85</v>
      </c>
    </row>
    <row r="7" spans="2:16" x14ac:dyDescent="0.35">
      <c r="B7" s="5" t="s">
        <v>15</v>
      </c>
      <c r="C7" s="7">
        <v>34.32</v>
      </c>
      <c r="E7" s="5" t="s">
        <v>15</v>
      </c>
      <c r="F7" s="7">
        <v>34.6</v>
      </c>
      <c r="H7" s="5" t="s">
        <v>15</v>
      </c>
      <c r="I7" s="7">
        <v>34.75</v>
      </c>
      <c r="K7" s="5" t="s">
        <v>15</v>
      </c>
      <c r="L7" s="7">
        <v>34.68</v>
      </c>
      <c r="N7" s="5" t="s">
        <v>15</v>
      </c>
      <c r="O7" s="7">
        <v>34.76</v>
      </c>
    </row>
    <row r="8" spans="2:16" x14ac:dyDescent="0.35">
      <c r="B8" s="5" t="s">
        <v>14</v>
      </c>
      <c r="C8" s="7">
        <v>25.97</v>
      </c>
      <c r="E8" s="5" t="s">
        <v>14</v>
      </c>
      <c r="F8" s="7">
        <v>26.25</v>
      </c>
      <c r="H8" s="5" t="s">
        <v>14</v>
      </c>
      <c r="I8" s="7">
        <v>26.27</v>
      </c>
      <c r="K8" s="5" t="s">
        <v>14</v>
      </c>
      <c r="L8" s="7">
        <v>26.26</v>
      </c>
      <c r="N8" s="5" t="s">
        <v>14</v>
      </c>
      <c r="O8" s="7">
        <v>26.09</v>
      </c>
    </row>
    <row r="9" spans="2:16" x14ac:dyDescent="0.35">
      <c r="B9" s="14" t="s">
        <v>13</v>
      </c>
      <c r="C9" s="15">
        <f>C7-C5</f>
        <v>-3.0899999999999963</v>
      </c>
      <c r="E9" s="14" t="s">
        <v>13</v>
      </c>
      <c r="F9" s="15">
        <f>F7-F5</f>
        <v>-2.7800000000000011</v>
      </c>
      <c r="H9" s="14" t="s">
        <v>13</v>
      </c>
      <c r="I9" s="15">
        <f>I7-I5</f>
        <v>-2.3800000000000026</v>
      </c>
      <c r="K9" s="14" t="s">
        <v>13</v>
      </c>
      <c r="L9" s="15">
        <f>L7-L5</f>
        <v>-3.2899999999999991</v>
      </c>
      <c r="N9" s="14" t="s">
        <v>13</v>
      </c>
      <c r="O9" s="15">
        <f>O7-O5</f>
        <v>-2.1200000000000045</v>
      </c>
    </row>
    <row r="10" spans="2:16" x14ac:dyDescent="0.35">
      <c r="B10" s="14" t="s">
        <v>12</v>
      </c>
      <c r="C10" s="15">
        <f>C8-C6</f>
        <v>-2.7100000000000009</v>
      </c>
      <c r="E10" s="14" t="s">
        <v>12</v>
      </c>
      <c r="F10" s="15">
        <f>F8-F6</f>
        <v>-2.6499999999999986</v>
      </c>
      <c r="H10" s="14" t="s">
        <v>12</v>
      </c>
      <c r="I10" s="15">
        <f>I8-I6</f>
        <v>-2.09</v>
      </c>
      <c r="K10" s="14" t="s">
        <v>12</v>
      </c>
      <c r="L10" s="15">
        <f>L8-L6</f>
        <v>-3.0599999999999987</v>
      </c>
      <c r="N10" s="14" t="s">
        <v>12</v>
      </c>
      <c r="O10" s="15">
        <f>O8-O6</f>
        <v>-1.7600000000000016</v>
      </c>
    </row>
    <row r="11" spans="2:16" x14ac:dyDescent="0.35">
      <c r="B11" s="16" t="s">
        <v>9</v>
      </c>
      <c r="C11" s="17">
        <f>C8+(C6-C8)*0.63</f>
        <v>27.677299999999999</v>
      </c>
      <c r="E11" s="16" t="s">
        <v>9</v>
      </c>
      <c r="F11" s="17">
        <f>F8+(F6-F8)*0.63</f>
        <v>27.919499999999999</v>
      </c>
      <c r="H11" s="16" t="s">
        <v>9</v>
      </c>
      <c r="I11" s="17">
        <f>I8+(I6-I8)*0.63</f>
        <v>27.5867</v>
      </c>
      <c r="K11" s="16" t="s">
        <v>9</v>
      </c>
      <c r="L11" s="17">
        <f>L8+(L6-L8)*0.63</f>
        <v>28.187799999999999</v>
      </c>
      <c r="N11" s="16" t="s">
        <v>9</v>
      </c>
      <c r="O11" s="17">
        <f>O8+(O6-O8)*0.63</f>
        <v>27.198800000000002</v>
      </c>
    </row>
    <row r="12" spans="2:16" x14ac:dyDescent="0.35">
      <c r="B12" s="9" t="s">
        <v>2</v>
      </c>
      <c r="C12" s="10">
        <f>(C9-C10)/(C5-C6)</f>
        <v>-4.3528064146620339E-2</v>
      </c>
      <c r="E12" s="9" t="s">
        <v>2</v>
      </c>
      <c r="F12" s="10">
        <f>(F9-F10)/(F5-F6)</f>
        <v>-1.5330188679245578E-2</v>
      </c>
      <c r="H12" s="9" t="s">
        <v>2</v>
      </c>
      <c r="I12" s="10">
        <f>(I9-I10)/(I5-I6)</f>
        <v>-3.3067274800456396E-2</v>
      </c>
      <c r="K12" s="9" t="s">
        <v>2</v>
      </c>
      <c r="L12" s="10">
        <f>(L9-L10)/(L5-L6)</f>
        <v>-2.6589595375722596E-2</v>
      </c>
      <c r="N12" s="9" t="s">
        <v>2</v>
      </c>
      <c r="O12" s="10">
        <f>(O9-O10)/(O5-O6)</f>
        <v>-3.9867109634551819E-2</v>
      </c>
    </row>
    <row r="13" spans="2:16" x14ac:dyDescent="0.35">
      <c r="B13" s="9" t="s">
        <v>10</v>
      </c>
      <c r="C13" s="11">
        <f>C10-C6*C12</f>
        <v>-1.4616151202749295</v>
      </c>
      <c r="E13" s="9" t="s">
        <v>10</v>
      </c>
      <c r="F13" s="11">
        <f>F10-F6*F12</f>
        <v>-2.2069575471698015</v>
      </c>
      <c r="H13" s="9" t="s">
        <v>10</v>
      </c>
      <c r="I13" s="11">
        <f>I10-I6*I12</f>
        <v>-1.1522120866590564</v>
      </c>
      <c r="K13" s="9" t="s">
        <v>10</v>
      </c>
      <c r="L13" s="11">
        <f>L10-L6*L12</f>
        <v>-2.2803930635838121</v>
      </c>
      <c r="N13" s="9" t="s">
        <v>10</v>
      </c>
      <c r="O13" s="11">
        <f>O10-O6*O12</f>
        <v>-0.6497009966777334</v>
      </c>
    </row>
    <row r="14" spans="2:16" ht="15" thickBot="1" x14ac:dyDescent="0.4">
      <c r="B14" s="12" t="s">
        <v>11</v>
      </c>
      <c r="C14" s="13">
        <v>1509</v>
      </c>
      <c r="E14" s="12" t="s">
        <v>11</v>
      </c>
      <c r="F14" s="13">
        <v>1360</v>
      </c>
      <c r="H14" s="12" t="s">
        <v>11</v>
      </c>
      <c r="I14" s="13">
        <v>1233</v>
      </c>
      <c r="K14" s="12" t="s">
        <v>11</v>
      </c>
      <c r="L14" s="13"/>
      <c r="N14" s="12" t="s">
        <v>11</v>
      </c>
      <c r="O14" s="13">
        <v>1493</v>
      </c>
    </row>
    <row r="15" spans="2:16" ht="15" thickTop="1" x14ac:dyDescent="0.35"/>
    <row r="16" spans="2:16" ht="24" thickBot="1" x14ac:dyDescent="0.6">
      <c r="B16" s="18" t="s">
        <v>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2:16" ht="16.5" thickTop="1" x14ac:dyDescent="0.4">
      <c r="B17" s="19" t="s">
        <v>7</v>
      </c>
      <c r="C17" s="20"/>
      <c r="E17" s="19" t="s">
        <v>3</v>
      </c>
      <c r="F17" s="20"/>
      <c r="H17" s="19" t="s">
        <v>4</v>
      </c>
      <c r="I17" s="20"/>
      <c r="J17" s="2"/>
      <c r="K17" s="19" t="s">
        <v>6</v>
      </c>
      <c r="L17" s="20"/>
      <c r="M17" s="2"/>
      <c r="N17" s="19" t="s">
        <v>5</v>
      </c>
      <c r="O17" s="20"/>
      <c r="P17" s="2"/>
    </row>
    <row r="18" spans="2:16" ht="16.5" thickBot="1" x14ac:dyDescent="0.45">
      <c r="B18" s="4" t="s">
        <v>0</v>
      </c>
      <c r="C18" s="6" t="s">
        <v>1</v>
      </c>
      <c r="E18" s="4" t="s">
        <v>0</v>
      </c>
      <c r="F18" s="6" t="s">
        <v>1</v>
      </c>
      <c r="H18" s="4" t="s">
        <v>0</v>
      </c>
      <c r="I18" s="6" t="s">
        <v>1</v>
      </c>
      <c r="J18" s="3"/>
      <c r="K18" s="4" t="s">
        <v>0</v>
      </c>
      <c r="L18" s="6" t="s">
        <v>1</v>
      </c>
      <c r="M18" s="3"/>
      <c r="N18" s="4" t="s">
        <v>0</v>
      </c>
      <c r="O18" s="6" t="s">
        <v>1</v>
      </c>
      <c r="P18" s="3"/>
    </row>
    <row r="19" spans="2:16" ht="15" thickTop="1" x14ac:dyDescent="0.35">
      <c r="B19" s="5" t="s">
        <v>17</v>
      </c>
      <c r="C19" s="7">
        <v>36.6</v>
      </c>
      <c r="E19" s="5" t="s">
        <v>17</v>
      </c>
      <c r="F19" s="7">
        <v>34.979999999999997</v>
      </c>
      <c r="H19" s="5" t="s">
        <v>17</v>
      </c>
      <c r="I19" s="7">
        <v>34.56</v>
      </c>
      <c r="K19" s="5" t="s">
        <v>17</v>
      </c>
      <c r="L19" s="7">
        <v>35.630000000000003</v>
      </c>
      <c r="N19" s="5" t="s">
        <v>17</v>
      </c>
      <c r="O19" s="7">
        <v>35.46</v>
      </c>
    </row>
    <row r="20" spans="2:16" x14ac:dyDescent="0.35">
      <c r="B20" s="5" t="s">
        <v>16</v>
      </c>
      <c r="C20" s="7">
        <v>27.1</v>
      </c>
      <c r="E20" s="5" t="s">
        <v>16</v>
      </c>
      <c r="F20" s="7">
        <v>25.43</v>
      </c>
      <c r="H20" s="5" t="s">
        <v>16</v>
      </c>
      <c r="I20" s="7">
        <v>25.05</v>
      </c>
      <c r="K20" s="5" t="s">
        <v>16</v>
      </c>
      <c r="L20" s="7">
        <v>26.1</v>
      </c>
      <c r="N20" s="5" t="s">
        <v>16</v>
      </c>
      <c r="O20" s="7">
        <v>25.91</v>
      </c>
    </row>
    <row r="21" spans="2:16" x14ac:dyDescent="0.35">
      <c r="B21" s="5" t="s">
        <v>15</v>
      </c>
      <c r="C21" s="7">
        <v>34.5</v>
      </c>
      <c r="E21" s="5" t="s">
        <v>15</v>
      </c>
      <c r="F21" s="7">
        <v>34.32</v>
      </c>
      <c r="H21" s="5" t="s">
        <v>15</v>
      </c>
      <c r="I21" s="7">
        <v>34.61</v>
      </c>
      <c r="K21" s="5" t="s">
        <v>15</v>
      </c>
      <c r="L21" s="7">
        <v>34.770000000000003</v>
      </c>
      <c r="N21" s="5" t="s">
        <v>15</v>
      </c>
      <c r="O21" s="7">
        <v>34.6</v>
      </c>
    </row>
    <row r="22" spans="2:16" x14ac:dyDescent="0.35">
      <c r="B22" s="5" t="s">
        <v>14</v>
      </c>
      <c r="C22" s="7">
        <v>25.12</v>
      </c>
      <c r="E22" s="5" t="s">
        <v>14</v>
      </c>
      <c r="F22" s="7">
        <v>24.82</v>
      </c>
      <c r="H22" s="5" t="s">
        <v>14</v>
      </c>
      <c r="I22" s="7">
        <v>24.94</v>
      </c>
      <c r="K22" s="5" t="s">
        <v>14</v>
      </c>
      <c r="L22" s="7">
        <v>25.14</v>
      </c>
      <c r="N22" s="5" t="s">
        <v>14</v>
      </c>
      <c r="O22" s="7">
        <v>25.08</v>
      </c>
    </row>
    <row r="23" spans="2:16" x14ac:dyDescent="0.35">
      <c r="B23" s="14" t="s">
        <v>13</v>
      </c>
      <c r="C23" s="15">
        <f>C21-C19</f>
        <v>-2.1000000000000014</v>
      </c>
      <c r="E23" s="14" t="s">
        <v>13</v>
      </c>
      <c r="F23" s="15">
        <f>F21-F19</f>
        <v>-0.65999999999999659</v>
      </c>
      <c r="H23" s="14" t="s">
        <v>13</v>
      </c>
      <c r="I23" s="15">
        <f>I21-I19</f>
        <v>4.9999999999997158E-2</v>
      </c>
      <c r="K23" s="14" t="s">
        <v>13</v>
      </c>
      <c r="L23" s="15">
        <f>L21-L19</f>
        <v>-0.85999999999999943</v>
      </c>
      <c r="N23" s="14" t="s">
        <v>13</v>
      </c>
      <c r="O23" s="15">
        <f>O21-O19</f>
        <v>-0.85999999999999943</v>
      </c>
    </row>
    <row r="24" spans="2:16" x14ac:dyDescent="0.35">
      <c r="B24" s="14" t="s">
        <v>12</v>
      </c>
      <c r="C24" s="15">
        <f>C22-C20</f>
        <v>-1.9800000000000004</v>
      </c>
      <c r="E24" s="14" t="s">
        <v>12</v>
      </c>
      <c r="F24" s="15">
        <f>F22-F20</f>
        <v>-0.60999999999999943</v>
      </c>
      <c r="H24" s="14" t="s">
        <v>12</v>
      </c>
      <c r="I24" s="15">
        <f>I22-I20</f>
        <v>-0.10999999999999943</v>
      </c>
      <c r="K24" s="14" t="s">
        <v>12</v>
      </c>
      <c r="L24" s="15">
        <f>L22-L20</f>
        <v>-0.96000000000000085</v>
      </c>
      <c r="N24" s="14" t="s">
        <v>12</v>
      </c>
      <c r="O24" s="15">
        <f>O22-O20</f>
        <v>-0.83000000000000185</v>
      </c>
    </row>
    <row r="25" spans="2:16" x14ac:dyDescent="0.35">
      <c r="B25" s="16" t="s">
        <v>9</v>
      </c>
      <c r="C25" s="17">
        <f>C22+(C20-C22)*0.63</f>
        <v>26.3674</v>
      </c>
      <c r="E25" s="16" t="s">
        <v>9</v>
      </c>
      <c r="F25" s="17">
        <f>F22+(F20-F22)*0.63</f>
        <v>25.2043</v>
      </c>
      <c r="H25" s="16" t="s">
        <v>9</v>
      </c>
      <c r="I25" s="17">
        <f>I22+(I20-I22)*0.63</f>
        <v>25.0093</v>
      </c>
      <c r="K25" s="16" t="s">
        <v>9</v>
      </c>
      <c r="L25" s="17">
        <f>L22+(L20-L22)*0.63</f>
        <v>25.744800000000001</v>
      </c>
      <c r="N25" s="16" t="s">
        <v>9</v>
      </c>
      <c r="O25" s="17">
        <f>O22+(O20-O22)*0.63</f>
        <v>25.602899999999998</v>
      </c>
    </row>
    <row r="26" spans="2:16" x14ac:dyDescent="0.35">
      <c r="B26" s="9" t="s">
        <v>2</v>
      </c>
      <c r="C26" s="10">
        <f>(C23-C24)/(C19-C20)</f>
        <v>-1.2631578947368527E-2</v>
      </c>
      <c r="E26" s="9" t="s">
        <v>2</v>
      </c>
      <c r="F26" s="10">
        <f>(F23-F24)/(F19-F20)</f>
        <v>-5.2356020942405414E-3</v>
      </c>
      <c r="H26" s="9" t="s">
        <v>2</v>
      </c>
      <c r="I26" s="10">
        <f>(I23-I24)/(I19-I20)</f>
        <v>1.6824395373290911E-2</v>
      </c>
      <c r="K26" s="9" t="s">
        <v>2</v>
      </c>
      <c r="L26" s="10">
        <f>(L23-L24)/(L19-L20)</f>
        <v>1.0493179433368459E-2</v>
      </c>
      <c r="N26" s="9" t="s">
        <v>2</v>
      </c>
      <c r="O26" s="10">
        <f>(O23-O24)/(O19-O20)</f>
        <v>-3.1413612565442495E-3</v>
      </c>
    </row>
    <row r="27" spans="2:16" x14ac:dyDescent="0.35">
      <c r="B27" s="9" t="s">
        <v>10</v>
      </c>
      <c r="C27" s="11">
        <f>C24-C20*C26</f>
        <v>-1.6376842105263134</v>
      </c>
      <c r="E27" s="9" t="s">
        <v>10</v>
      </c>
      <c r="F27" s="11">
        <f>F24-F20*F26</f>
        <v>-0.47685863874346246</v>
      </c>
      <c r="H27" s="9" t="s">
        <v>10</v>
      </c>
      <c r="I27" s="11">
        <f>I24-I20*I26</f>
        <v>-0.53145110410093677</v>
      </c>
      <c r="K27" s="9" t="s">
        <v>10</v>
      </c>
      <c r="L27" s="11">
        <f>L24-L20*L26</f>
        <v>-1.2338719832109177</v>
      </c>
      <c r="N27" s="9" t="s">
        <v>10</v>
      </c>
      <c r="O27" s="11">
        <f>O24-O20*O26</f>
        <v>-0.74860732984294032</v>
      </c>
    </row>
    <row r="28" spans="2:16" ht="15" thickBot="1" x14ac:dyDescent="0.4">
      <c r="B28" s="12" t="s">
        <v>11</v>
      </c>
      <c r="C28" s="13">
        <v>1461</v>
      </c>
      <c r="E28" s="12" t="s">
        <v>11</v>
      </c>
      <c r="F28" s="13"/>
      <c r="H28" s="12" t="s">
        <v>11</v>
      </c>
      <c r="I28" s="13"/>
      <c r="K28" s="12" t="s">
        <v>11</v>
      </c>
      <c r="L28" s="13"/>
      <c r="N28" s="12" t="s">
        <v>11</v>
      </c>
      <c r="O28" s="13"/>
    </row>
    <row r="29" spans="2:16" ht="15" thickTop="1" x14ac:dyDescent="0.35"/>
    <row r="30" spans="2:16" ht="24" thickBot="1" x14ac:dyDescent="0.6">
      <c r="B30" s="18" t="s">
        <v>20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2:16" ht="16.5" thickTop="1" x14ac:dyDescent="0.4">
      <c r="B31" s="19" t="s">
        <v>7</v>
      </c>
      <c r="C31" s="20"/>
      <c r="E31" s="19" t="s">
        <v>3</v>
      </c>
      <c r="F31" s="20"/>
      <c r="H31" s="19" t="s">
        <v>4</v>
      </c>
      <c r="I31" s="20"/>
      <c r="J31" s="2"/>
      <c r="K31" s="19" t="s">
        <v>6</v>
      </c>
      <c r="L31" s="20"/>
      <c r="M31" s="2"/>
      <c r="N31" s="19" t="s">
        <v>5</v>
      </c>
      <c r="O31" s="20"/>
    </row>
    <row r="32" spans="2:16" ht="16.5" thickBot="1" x14ac:dyDescent="0.45">
      <c r="B32" s="4" t="s">
        <v>0</v>
      </c>
      <c r="C32" s="6" t="s">
        <v>1</v>
      </c>
      <c r="E32" s="4" t="s">
        <v>0</v>
      </c>
      <c r="F32" s="6" t="s">
        <v>1</v>
      </c>
      <c r="H32" s="4" t="s">
        <v>0</v>
      </c>
      <c r="I32" s="6" t="s">
        <v>1</v>
      </c>
      <c r="J32" s="3"/>
      <c r="K32" s="4" t="s">
        <v>0</v>
      </c>
      <c r="L32" s="6" t="s">
        <v>1</v>
      </c>
      <c r="M32" s="3"/>
      <c r="N32" s="4" t="s">
        <v>0</v>
      </c>
      <c r="O32" s="6" t="s">
        <v>1</v>
      </c>
    </row>
    <row r="33" spans="2:15" ht="15" thickTop="1" x14ac:dyDescent="0.35">
      <c r="B33" s="5" t="s">
        <v>17</v>
      </c>
      <c r="C33" s="7">
        <v>36.49</v>
      </c>
      <c r="E33" s="5" t="s">
        <v>17</v>
      </c>
      <c r="F33" s="7"/>
      <c r="H33" s="5" t="s">
        <v>17</v>
      </c>
      <c r="I33" s="7"/>
      <c r="K33" s="5" t="s">
        <v>17</v>
      </c>
      <c r="L33" s="7"/>
      <c r="N33" s="5" t="s">
        <v>17</v>
      </c>
      <c r="O33" s="7"/>
    </row>
    <row r="34" spans="2:15" x14ac:dyDescent="0.35">
      <c r="B34" s="5" t="s">
        <v>16</v>
      </c>
      <c r="C34" s="7">
        <v>27.05</v>
      </c>
      <c r="E34" s="5" t="s">
        <v>16</v>
      </c>
      <c r="F34" s="7"/>
      <c r="H34" s="5" t="s">
        <v>16</v>
      </c>
      <c r="I34" s="7"/>
      <c r="K34" s="5" t="s">
        <v>16</v>
      </c>
      <c r="L34" s="7"/>
      <c r="N34" s="5" t="s">
        <v>16</v>
      </c>
      <c r="O34" s="7"/>
    </row>
    <row r="35" spans="2:15" x14ac:dyDescent="0.35">
      <c r="B35" s="5" t="s">
        <v>15</v>
      </c>
      <c r="C35" s="7">
        <v>34.770000000000003</v>
      </c>
      <c r="E35" s="5" t="s">
        <v>15</v>
      </c>
      <c r="F35" s="7"/>
      <c r="H35" s="5" t="s">
        <v>15</v>
      </c>
      <c r="I35" s="7"/>
      <c r="K35" s="5" t="s">
        <v>15</v>
      </c>
      <c r="L35" s="7"/>
      <c r="N35" s="5" t="s">
        <v>15</v>
      </c>
      <c r="O35" s="7"/>
    </row>
    <row r="36" spans="2:15" x14ac:dyDescent="0.35">
      <c r="B36" s="5" t="s">
        <v>14</v>
      </c>
      <c r="C36" s="7">
        <v>25.32</v>
      </c>
      <c r="E36" s="5" t="s">
        <v>14</v>
      </c>
      <c r="F36" s="7"/>
      <c r="H36" s="5" t="s">
        <v>14</v>
      </c>
      <c r="I36" s="7"/>
      <c r="K36" s="5" t="s">
        <v>14</v>
      </c>
      <c r="L36" s="7"/>
      <c r="N36" s="5" t="s">
        <v>14</v>
      </c>
      <c r="O36" s="7"/>
    </row>
    <row r="37" spans="2:15" x14ac:dyDescent="0.35">
      <c r="B37" s="14" t="s">
        <v>13</v>
      </c>
      <c r="C37" s="15">
        <f>C35-C33</f>
        <v>-1.7199999999999989</v>
      </c>
      <c r="E37" s="14" t="s">
        <v>13</v>
      </c>
      <c r="F37" s="15">
        <f>F35-F33</f>
        <v>0</v>
      </c>
      <c r="H37" s="14" t="s">
        <v>13</v>
      </c>
      <c r="I37" s="15">
        <f>I35-I33</f>
        <v>0</v>
      </c>
      <c r="K37" s="14" t="s">
        <v>13</v>
      </c>
      <c r="L37" s="15">
        <f>L35-L33</f>
        <v>0</v>
      </c>
      <c r="N37" s="14" t="s">
        <v>13</v>
      </c>
      <c r="O37" s="15">
        <f>O35-O33</f>
        <v>0</v>
      </c>
    </row>
    <row r="38" spans="2:15" x14ac:dyDescent="0.35">
      <c r="B38" s="14" t="s">
        <v>12</v>
      </c>
      <c r="C38" s="15">
        <f>C36-C34</f>
        <v>-1.7300000000000004</v>
      </c>
      <c r="E38" s="14" t="s">
        <v>12</v>
      </c>
      <c r="F38" s="15">
        <f>F36-F34</f>
        <v>0</v>
      </c>
      <c r="H38" s="14" t="s">
        <v>12</v>
      </c>
      <c r="I38" s="15">
        <f>I36-I34</f>
        <v>0</v>
      </c>
      <c r="K38" s="14" t="s">
        <v>12</v>
      </c>
      <c r="L38" s="15">
        <f>L36-L34</f>
        <v>0</v>
      </c>
      <c r="N38" s="14" t="s">
        <v>12</v>
      </c>
      <c r="O38" s="15">
        <f>O36-O34</f>
        <v>0</v>
      </c>
    </row>
    <row r="39" spans="2:15" x14ac:dyDescent="0.35">
      <c r="B39" s="16" t="s">
        <v>9</v>
      </c>
      <c r="C39" s="17">
        <f>C36+(C34-C36)*0.63</f>
        <v>26.4099</v>
      </c>
      <c r="E39" s="16" t="s">
        <v>9</v>
      </c>
      <c r="F39" s="17">
        <f>F36+(F34-F36)*0.63</f>
        <v>0</v>
      </c>
      <c r="H39" s="16" t="s">
        <v>9</v>
      </c>
      <c r="I39" s="17">
        <f>I36+(I34-I36)*0.63</f>
        <v>0</v>
      </c>
      <c r="K39" s="16" t="s">
        <v>9</v>
      </c>
      <c r="L39" s="17">
        <f>L36+(L34-L36)*0.63</f>
        <v>0</v>
      </c>
      <c r="N39" s="16" t="s">
        <v>9</v>
      </c>
      <c r="O39" s="17">
        <f>O36+(O34-O36)*0.63</f>
        <v>0</v>
      </c>
    </row>
    <row r="40" spans="2:15" x14ac:dyDescent="0.35">
      <c r="B40" s="9" t="s">
        <v>2</v>
      </c>
      <c r="C40" s="10">
        <f>(C37-C38)/(C33-C34)</f>
        <v>1.0593220338984705E-3</v>
      </c>
      <c r="E40" s="9" t="s">
        <v>2</v>
      </c>
      <c r="F40" s="10" t="e">
        <f>(F37-F38)/(F33-F34)</f>
        <v>#DIV/0!</v>
      </c>
      <c r="H40" s="9" t="s">
        <v>2</v>
      </c>
      <c r="I40" s="10" t="e">
        <f>(I37-I38)/(I33-I34)</f>
        <v>#DIV/0!</v>
      </c>
      <c r="K40" s="9" t="s">
        <v>2</v>
      </c>
      <c r="L40" s="10" t="e">
        <f>(L37-L38)/(L33-L34)</f>
        <v>#DIV/0!</v>
      </c>
      <c r="N40" s="9" t="s">
        <v>2</v>
      </c>
      <c r="O40" s="10" t="e">
        <f>(O37-O38)/(O33-O34)</f>
        <v>#DIV/0!</v>
      </c>
    </row>
    <row r="41" spans="2:15" x14ac:dyDescent="0.35">
      <c r="B41" s="9" t="s">
        <v>10</v>
      </c>
      <c r="C41" s="11">
        <f>C38-C34*C40</f>
        <v>-1.758654661016954</v>
      </c>
      <c r="E41" s="9" t="s">
        <v>10</v>
      </c>
      <c r="F41" s="11" t="e">
        <f>F38-F34*F40</f>
        <v>#DIV/0!</v>
      </c>
      <c r="H41" s="9" t="s">
        <v>10</v>
      </c>
      <c r="I41" s="11" t="e">
        <f>I38-I34*I40</f>
        <v>#DIV/0!</v>
      </c>
      <c r="K41" s="9" t="s">
        <v>10</v>
      </c>
      <c r="L41" s="11" t="e">
        <f>L38-L34*L40</f>
        <v>#DIV/0!</v>
      </c>
      <c r="N41" s="9" t="s">
        <v>10</v>
      </c>
      <c r="O41" s="11" t="e">
        <f>O38-O34*O40</f>
        <v>#DIV/0!</v>
      </c>
    </row>
    <row r="42" spans="2:15" ht="15" thickBot="1" x14ac:dyDescent="0.4">
      <c r="B42" s="12" t="s">
        <v>11</v>
      </c>
      <c r="C42" s="13">
        <v>1533</v>
      </c>
      <c r="E42" s="12" t="s">
        <v>11</v>
      </c>
      <c r="F42" s="13"/>
      <c r="H42" s="12" t="s">
        <v>11</v>
      </c>
      <c r="I42" s="13"/>
      <c r="K42" s="12" t="s">
        <v>11</v>
      </c>
      <c r="L42" s="13"/>
      <c r="N42" s="12" t="s">
        <v>11</v>
      </c>
      <c r="O42" s="13"/>
    </row>
    <row r="43" spans="2:15" ht="15" thickTop="1" x14ac:dyDescent="0.35"/>
    <row r="44" spans="2:15" ht="24" thickBot="1" x14ac:dyDescent="0.6">
      <c r="B44" s="18" t="s">
        <v>21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15" ht="16.5" thickTop="1" x14ac:dyDescent="0.4">
      <c r="B45" s="19" t="s">
        <v>7</v>
      </c>
      <c r="C45" s="20"/>
      <c r="E45" s="19" t="s">
        <v>3</v>
      </c>
      <c r="F45" s="20"/>
      <c r="H45" s="19" t="s">
        <v>4</v>
      </c>
      <c r="I45" s="20"/>
      <c r="J45" s="2"/>
      <c r="K45" s="19" t="s">
        <v>6</v>
      </c>
      <c r="L45" s="20"/>
      <c r="M45" s="2"/>
      <c r="N45" s="19" t="s">
        <v>5</v>
      </c>
      <c r="O45" s="20"/>
    </row>
    <row r="46" spans="2:15" ht="16.5" thickBot="1" x14ac:dyDescent="0.45">
      <c r="B46" s="4" t="s">
        <v>0</v>
      </c>
      <c r="C46" s="6" t="s">
        <v>1</v>
      </c>
      <c r="E46" s="4" t="s">
        <v>0</v>
      </c>
      <c r="F46" s="6" t="s">
        <v>1</v>
      </c>
      <c r="H46" s="4" t="s">
        <v>0</v>
      </c>
      <c r="I46" s="6" t="s">
        <v>1</v>
      </c>
      <c r="J46" s="3"/>
      <c r="K46" s="4" t="s">
        <v>0</v>
      </c>
      <c r="L46" s="6" t="s">
        <v>1</v>
      </c>
      <c r="M46" s="3"/>
      <c r="N46" s="4" t="s">
        <v>0</v>
      </c>
      <c r="O46" s="6" t="s">
        <v>1</v>
      </c>
    </row>
    <row r="47" spans="2:15" ht="15" thickTop="1" x14ac:dyDescent="0.35">
      <c r="B47" s="5" t="s">
        <v>17</v>
      </c>
      <c r="C47" s="7">
        <v>36.79</v>
      </c>
      <c r="E47" s="5" t="s">
        <v>17</v>
      </c>
      <c r="F47" s="7"/>
      <c r="H47" s="5" t="s">
        <v>17</v>
      </c>
      <c r="I47" s="7"/>
      <c r="K47" s="5" t="s">
        <v>17</v>
      </c>
      <c r="L47" s="7"/>
      <c r="N47" s="5" t="s">
        <v>17</v>
      </c>
      <c r="O47" s="7"/>
    </row>
    <row r="48" spans="2:15" x14ac:dyDescent="0.35">
      <c r="B48" s="5" t="s">
        <v>16</v>
      </c>
      <c r="C48" s="7">
        <v>26.94</v>
      </c>
      <c r="E48" s="5" t="s">
        <v>16</v>
      </c>
      <c r="F48" s="7"/>
      <c r="H48" s="5" t="s">
        <v>16</v>
      </c>
      <c r="I48" s="7"/>
      <c r="K48" s="5" t="s">
        <v>16</v>
      </c>
      <c r="L48" s="7"/>
      <c r="N48" s="5" t="s">
        <v>16</v>
      </c>
      <c r="O48" s="7"/>
    </row>
    <row r="49" spans="2:15" x14ac:dyDescent="0.35">
      <c r="B49" s="5" t="s">
        <v>15</v>
      </c>
      <c r="C49" s="7">
        <v>34.76</v>
      </c>
      <c r="E49" s="5" t="s">
        <v>15</v>
      </c>
      <c r="F49" s="7"/>
      <c r="H49" s="5" t="s">
        <v>15</v>
      </c>
      <c r="I49" s="7"/>
      <c r="K49" s="5" t="s">
        <v>15</v>
      </c>
      <c r="L49" s="7"/>
      <c r="N49" s="5" t="s">
        <v>15</v>
      </c>
      <c r="O49" s="7"/>
    </row>
    <row r="50" spans="2:15" x14ac:dyDescent="0.35">
      <c r="B50" s="5" t="s">
        <v>14</v>
      </c>
      <c r="C50" s="7">
        <v>25.1</v>
      </c>
      <c r="E50" s="5" t="s">
        <v>14</v>
      </c>
      <c r="F50" s="7"/>
      <c r="H50" s="5" t="s">
        <v>14</v>
      </c>
      <c r="I50" s="7"/>
      <c r="K50" s="5" t="s">
        <v>14</v>
      </c>
      <c r="L50" s="7"/>
      <c r="N50" s="5" t="s">
        <v>14</v>
      </c>
      <c r="O50" s="7"/>
    </row>
    <row r="51" spans="2:15" x14ac:dyDescent="0.35">
      <c r="B51" s="14" t="s">
        <v>13</v>
      </c>
      <c r="C51" s="15">
        <f>C49-C47</f>
        <v>-2.0300000000000011</v>
      </c>
      <c r="E51" s="14" t="s">
        <v>13</v>
      </c>
      <c r="F51" s="15">
        <f>F49-F47</f>
        <v>0</v>
      </c>
      <c r="H51" s="14" t="s">
        <v>13</v>
      </c>
      <c r="I51" s="15">
        <f>I49-I47</f>
        <v>0</v>
      </c>
      <c r="K51" s="14" t="s">
        <v>13</v>
      </c>
      <c r="L51" s="15">
        <f>L49-L47</f>
        <v>0</v>
      </c>
      <c r="N51" s="14" t="s">
        <v>13</v>
      </c>
      <c r="O51" s="15">
        <f>O49-O47</f>
        <v>0</v>
      </c>
    </row>
    <row r="52" spans="2:15" x14ac:dyDescent="0.35">
      <c r="B52" s="14" t="s">
        <v>12</v>
      </c>
      <c r="C52" s="15">
        <f>C50-C48</f>
        <v>-1.8399999999999999</v>
      </c>
      <c r="E52" s="14" t="s">
        <v>12</v>
      </c>
      <c r="F52" s="15">
        <f>F50-F48</f>
        <v>0</v>
      </c>
      <c r="H52" s="14" t="s">
        <v>12</v>
      </c>
      <c r="I52" s="15">
        <f>I50-I48</f>
        <v>0</v>
      </c>
      <c r="K52" s="14" t="s">
        <v>12</v>
      </c>
      <c r="L52" s="15">
        <f>L50-L48</f>
        <v>0</v>
      </c>
      <c r="N52" s="14" t="s">
        <v>12</v>
      </c>
      <c r="O52" s="15">
        <f>O50-O48</f>
        <v>0</v>
      </c>
    </row>
    <row r="53" spans="2:15" x14ac:dyDescent="0.35">
      <c r="B53" s="16" t="s">
        <v>9</v>
      </c>
      <c r="C53" s="17">
        <f>C50+(C48-C50)*0.63</f>
        <v>26.2592</v>
      </c>
      <c r="E53" s="16" t="s">
        <v>9</v>
      </c>
      <c r="F53" s="17">
        <f>F50+(F48-F50)*0.63</f>
        <v>0</v>
      </c>
      <c r="H53" s="16" t="s">
        <v>9</v>
      </c>
      <c r="I53" s="17">
        <f>I50+(I48-I50)*0.63</f>
        <v>0</v>
      </c>
      <c r="K53" s="16" t="s">
        <v>9</v>
      </c>
      <c r="L53" s="17">
        <f>L50+(L48-L50)*0.63</f>
        <v>0</v>
      </c>
      <c r="N53" s="16" t="s">
        <v>9</v>
      </c>
      <c r="O53" s="17">
        <f>O50+(O48-O50)*0.63</f>
        <v>0</v>
      </c>
    </row>
    <row r="54" spans="2:15" x14ac:dyDescent="0.35">
      <c r="B54" s="9" t="s">
        <v>2</v>
      </c>
      <c r="C54" s="10">
        <f>(C51-C52)/(C47-C48)</f>
        <v>-1.9289340101522976E-2</v>
      </c>
      <c r="E54" s="9" t="s">
        <v>2</v>
      </c>
      <c r="F54" s="10" t="e">
        <f>(F51-F52)/(F47-F48)</f>
        <v>#DIV/0!</v>
      </c>
      <c r="H54" s="9" t="s">
        <v>2</v>
      </c>
      <c r="I54" s="10" t="e">
        <f>(I51-I52)/(I47-I48)</f>
        <v>#DIV/0!</v>
      </c>
      <c r="K54" s="9" t="s">
        <v>2</v>
      </c>
      <c r="L54" s="10" t="e">
        <f>(L51-L52)/(L47-L48)</f>
        <v>#DIV/0!</v>
      </c>
      <c r="N54" s="9" t="s">
        <v>2</v>
      </c>
      <c r="O54" s="10" t="e">
        <f>(O51-O52)/(O47-O48)</f>
        <v>#DIV/0!</v>
      </c>
    </row>
    <row r="55" spans="2:15" x14ac:dyDescent="0.35">
      <c r="B55" s="9" t="s">
        <v>10</v>
      </c>
      <c r="C55" s="11">
        <f>C52-C48*C54</f>
        <v>-1.3203451776649708</v>
      </c>
      <c r="E55" s="9" t="s">
        <v>10</v>
      </c>
      <c r="F55" s="11" t="e">
        <f>F52-F48*F54</f>
        <v>#DIV/0!</v>
      </c>
      <c r="H55" s="9" t="s">
        <v>10</v>
      </c>
      <c r="I55" s="11" t="e">
        <f>I52-I48*I54</f>
        <v>#DIV/0!</v>
      </c>
      <c r="K55" s="9" t="s">
        <v>10</v>
      </c>
      <c r="L55" s="11" t="e">
        <f>L52-L48*L54</f>
        <v>#DIV/0!</v>
      </c>
      <c r="N55" s="9" t="s">
        <v>10</v>
      </c>
      <c r="O55" s="11" t="e">
        <f>O52-O48*O54</f>
        <v>#DIV/0!</v>
      </c>
    </row>
    <row r="56" spans="2:15" ht="15" thickBot="1" x14ac:dyDescent="0.4">
      <c r="B56" s="12" t="s">
        <v>11</v>
      </c>
      <c r="C56" s="13">
        <v>1533</v>
      </c>
      <c r="E56" s="12" t="s">
        <v>11</v>
      </c>
      <c r="F56" s="13"/>
      <c r="H56" s="12" t="s">
        <v>11</v>
      </c>
      <c r="I56" s="13"/>
      <c r="K56" s="12" t="s">
        <v>11</v>
      </c>
      <c r="L56" s="13"/>
      <c r="N56" s="12" t="s">
        <v>11</v>
      </c>
      <c r="O56" s="13"/>
    </row>
    <row r="57" spans="2:15" ht="15" thickTop="1" x14ac:dyDescent="0.35"/>
    <row r="58" spans="2:15" ht="26" x14ac:dyDescent="0.6">
      <c r="B58" s="22" t="s">
        <v>22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60" spans="2:15" ht="24" thickBot="1" x14ac:dyDescent="0.6">
      <c r="B60" s="18" t="s">
        <v>23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2:15" ht="16.5" thickTop="1" x14ac:dyDescent="0.4">
      <c r="B61" s="19" t="s">
        <v>7</v>
      </c>
      <c r="C61" s="20"/>
      <c r="E61" s="19" t="s">
        <v>3</v>
      </c>
      <c r="F61" s="20"/>
      <c r="H61" s="19" t="s">
        <v>4</v>
      </c>
      <c r="I61" s="20"/>
      <c r="J61" s="2"/>
      <c r="K61" s="19" t="s">
        <v>6</v>
      </c>
      <c r="L61" s="20"/>
      <c r="M61" s="2"/>
      <c r="N61" s="19" t="s">
        <v>5</v>
      </c>
      <c r="O61" s="20"/>
    </row>
    <row r="62" spans="2:15" ht="16.5" thickBot="1" x14ac:dyDescent="0.45">
      <c r="B62" s="4" t="s">
        <v>0</v>
      </c>
      <c r="C62" s="6" t="s">
        <v>1</v>
      </c>
      <c r="E62" s="4" t="s">
        <v>0</v>
      </c>
      <c r="F62" s="6" t="s">
        <v>1</v>
      </c>
      <c r="H62" s="4" t="s">
        <v>0</v>
      </c>
      <c r="I62" s="6" t="s">
        <v>1</v>
      </c>
      <c r="J62" s="3"/>
      <c r="K62" s="4" t="s">
        <v>0</v>
      </c>
      <c r="L62" s="6" t="s">
        <v>1</v>
      </c>
      <c r="M62" s="3"/>
      <c r="N62" s="4" t="s">
        <v>0</v>
      </c>
      <c r="O62" s="6" t="s">
        <v>1</v>
      </c>
    </row>
    <row r="63" spans="2:15" ht="15" thickTop="1" x14ac:dyDescent="0.35">
      <c r="B63" s="5" t="s">
        <v>17</v>
      </c>
      <c r="C63" s="7">
        <v>36.229999999999997</v>
      </c>
      <c r="E63" s="5" t="s">
        <v>17</v>
      </c>
      <c r="F63" s="7"/>
      <c r="H63" s="5" t="s">
        <v>17</v>
      </c>
      <c r="I63" s="7"/>
      <c r="K63" s="5" t="s">
        <v>17</v>
      </c>
      <c r="L63" s="7"/>
      <c r="N63" s="5" t="s">
        <v>17</v>
      </c>
      <c r="O63" s="7"/>
    </row>
    <row r="64" spans="2:15" x14ac:dyDescent="0.35">
      <c r="B64" s="5" t="s">
        <v>16</v>
      </c>
      <c r="C64" s="7">
        <v>26.9</v>
      </c>
      <c r="E64" s="5" t="s">
        <v>16</v>
      </c>
      <c r="F64" s="7"/>
      <c r="H64" s="5" t="s">
        <v>16</v>
      </c>
      <c r="I64" s="7"/>
      <c r="K64" s="5" t="s">
        <v>16</v>
      </c>
      <c r="L64" s="7"/>
      <c r="N64" s="5" t="s">
        <v>16</v>
      </c>
      <c r="O64" s="7"/>
    </row>
    <row r="65" spans="2:15" x14ac:dyDescent="0.35">
      <c r="B65" s="5" t="s">
        <v>15</v>
      </c>
      <c r="C65" s="7">
        <v>34.299999999999997</v>
      </c>
      <c r="E65" s="5" t="s">
        <v>15</v>
      </c>
      <c r="F65" s="7"/>
      <c r="H65" s="5" t="s">
        <v>15</v>
      </c>
      <c r="I65" s="7"/>
      <c r="K65" s="5" t="s">
        <v>15</v>
      </c>
      <c r="L65" s="7"/>
      <c r="N65" s="5" t="s">
        <v>15</v>
      </c>
      <c r="O65" s="7"/>
    </row>
    <row r="66" spans="2:15" x14ac:dyDescent="0.35">
      <c r="B66" s="5" t="s">
        <v>14</v>
      </c>
      <c r="C66" s="7">
        <v>24.87</v>
      </c>
      <c r="E66" s="5" t="s">
        <v>14</v>
      </c>
      <c r="F66" s="7"/>
      <c r="H66" s="5" t="s">
        <v>14</v>
      </c>
      <c r="I66" s="7"/>
      <c r="K66" s="5" t="s">
        <v>14</v>
      </c>
      <c r="L66" s="7"/>
      <c r="N66" s="5" t="s">
        <v>14</v>
      </c>
      <c r="O66" s="7"/>
    </row>
    <row r="67" spans="2:15" x14ac:dyDescent="0.35">
      <c r="B67" s="5" t="s">
        <v>24</v>
      </c>
      <c r="C67" s="7">
        <v>24.87</v>
      </c>
      <c r="E67" s="5" t="s">
        <v>24</v>
      </c>
      <c r="F67" s="7"/>
      <c r="H67" s="5" t="s">
        <v>24</v>
      </c>
      <c r="I67" s="7"/>
      <c r="K67" s="5" t="s">
        <v>24</v>
      </c>
      <c r="L67" s="7"/>
      <c r="N67" s="5" t="s">
        <v>24</v>
      </c>
      <c r="O67" s="7"/>
    </row>
    <row r="68" spans="2:15" x14ac:dyDescent="0.35">
      <c r="B68" s="14" t="s">
        <v>13</v>
      </c>
      <c r="C68" s="15">
        <f>C65-C63</f>
        <v>-1.9299999999999997</v>
      </c>
      <c r="E68" s="14" t="s">
        <v>13</v>
      </c>
      <c r="F68" s="15">
        <f>F65-F63</f>
        <v>0</v>
      </c>
      <c r="H68" s="14" t="s">
        <v>13</v>
      </c>
      <c r="I68" s="15">
        <f>I65-I63</f>
        <v>0</v>
      </c>
      <c r="K68" s="14" t="s">
        <v>13</v>
      </c>
      <c r="L68" s="15">
        <f>L65-L63</f>
        <v>0</v>
      </c>
      <c r="N68" s="14" t="s">
        <v>13</v>
      </c>
      <c r="O68" s="15">
        <f>O65-O63</f>
        <v>0</v>
      </c>
    </row>
    <row r="69" spans="2:15" x14ac:dyDescent="0.35">
      <c r="B69" s="14" t="s">
        <v>12</v>
      </c>
      <c r="C69" s="15">
        <f>C66-C64</f>
        <v>-2.0299999999999976</v>
      </c>
      <c r="E69" s="14" t="s">
        <v>12</v>
      </c>
      <c r="F69" s="15">
        <f>F66-F64</f>
        <v>0</v>
      </c>
      <c r="H69" s="14" t="s">
        <v>12</v>
      </c>
      <c r="I69" s="15">
        <f>I66-I64</f>
        <v>0</v>
      </c>
      <c r="K69" s="14" t="s">
        <v>12</v>
      </c>
      <c r="L69" s="15">
        <f>L66-L64</f>
        <v>0</v>
      </c>
      <c r="N69" s="14" t="s">
        <v>12</v>
      </c>
      <c r="O69" s="15">
        <f>O66-O64</f>
        <v>0</v>
      </c>
    </row>
    <row r="70" spans="2:15" x14ac:dyDescent="0.35">
      <c r="B70" s="16" t="s">
        <v>9</v>
      </c>
      <c r="C70" s="17">
        <f>C67+(C64-C67)*0.63</f>
        <v>26.148900000000001</v>
      </c>
      <c r="E70" s="16" t="s">
        <v>9</v>
      </c>
      <c r="F70" s="17">
        <f>F67+(F64-F67)*0.63</f>
        <v>0</v>
      </c>
      <c r="H70" s="16" t="s">
        <v>9</v>
      </c>
      <c r="I70" s="17">
        <f>I67+(I64-I67)*0.63</f>
        <v>0</v>
      </c>
      <c r="K70" s="16" t="s">
        <v>9</v>
      </c>
      <c r="L70" s="17">
        <f>L67+(L64-L67)*0.63</f>
        <v>0</v>
      </c>
      <c r="N70" s="16" t="s">
        <v>9</v>
      </c>
      <c r="O70" s="17">
        <f>O67+(O64-O67)*0.63</f>
        <v>0</v>
      </c>
    </row>
    <row r="71" spans="2:15" x14ac:dyDescent="0.35">
      <c r="B71" s="9" t="s">
        <v>2</v>
      </c>
      <c r="C71" s="10">
        <f>(C68-C69)/(C63-C64)</f>
        <v>1.071811361200406E-2</v>
      </c>
      <c r="E71" s="9" t="s">
        <v>2</v>
      </c>
      <c r="F71" s="10" t="e">
        <f>(F68-F69)/(F63-F64)</f>
        <v>#DIV/0!</v>
      </c>
      <c r="H71" s="9" t="s">
        <v>2</v>
      </c>
      <c r="I71" s="10" t="e">
        <f>(I68-I69)/(I63-I64)</f>
        <v>#DIV/0!</v>
      </c>
      <c r="K71" s="9" t="s">
        <v>2</v>
      </c>
      <c r="L71" s="10" t="e">
        <f>(L68-L69)/(L63-L64)</f>
        <v>#DIV/0!</v>
      </c>
      <c r="N71" s="9" t="s">
        <v>2</v>
      </c>
      <c r="O71" s="10" t="e">
        <f>(O68-O69)/(O63-O64)</f>
        <v>#DIV/0!</v>
      </c>
    </row>
    <row r="72" spans="2:15" x14ac:dyDescent="0.35">
      <c r="B72" s="9" t="s">
        <v>10</v>
      </c>
      <c r="C72" s="11">
        <f>C69-C64*C71</f>
        <v>-2.3183172561629068</v>
      </c>
      <c r="E72" s="9" t="s">
        <v>10</v>
      </c>
      <c r="F72" s="11" t="e">
        <f>F69-F64*F71</f>
        <v>#DIV/0!</v>
      </c>
      <c r="H72" s="9" t="s">
        <v>10</v>
      </c>
      <c r="I72" s="11" t="e">
        <f>I69-I64*I71</f>
        <v>#DIV/0!</v>
      </c>
      <c r="K72" s="9" t="s">
        <v>10</v>
      </c>
      <c r="L72" s="11" t="e">
        <f>L69-L64*L71</f>
        <v>#DIV/0!</v>
      </c>
      <c r="N72" s="9" t="s">
        <v>10</v>
      </c>
      <c r="O72" s="11" t="e">
        <f>O69-O64*O71</f>
        <v>#DIV/0!</v>
      </c>
    </row>
    <row r="73" spans="2:15" ht="15" thickBot="1" x14ac:dyDescent="0.4">
      <c r="B73" s="12" t="s">
        <v>11</v>
      </c>
      <c r="C73" s="13">
        <v>1701</v>
      </c>
      <c r="E73" s="12" t="s">
        <v>11</v>
      </c>
      <c r="F73" s="13"/>
      <c r="H73" s="12" t="s">
        <v>11</v>
      </c>
      <c r="I73" s="13"/>
      <c r="K73" s="12" t="s">
        <v>11</v>
      </c>
      <c r="L73" s="13"/>
      <c r="N73" s="12" t="s">
        <v>11</v>
      </c>
      <c r="O73" s="13"/>
    </row>
    <row r="74" spans="2:15" ht="15" thickTop="1" x14ac:dyDescent="0.35"/>
    <row r="75" spans="2:15" ht="24" thickBot="1" x14ac:dyDescent="0.6">
      <c r="B75" s="18" t="s">
        <v>21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2:15" ht="16.5" thickTop="1" x14ac:dyDescent="0.4">
      <c r="B76" s="19" t="s">
        <v>7</v>
      </c>
      <c r="C76" s="20"/>
      <c r="E76" s="19" t="s">
        <v>3</v>
      </c>
      <c r="F76" s="20"/>
      <c r="H76" s="19" t="s">
        <v>4</v>
      </c>
      <c r="I76" s="20"/>
      <c r="J76" s="2"/>
      <c r="K76" s="19" t="s">
        <v>6</v>
      </c>
      <c r="L76" s="20"/>
      <c r="M76" s="2"/>
      <c r="N76" s="19" t="s">
        <v>5</v>
      </c>
      <c r="O76" s="20"/>
    </row>
    <row r="77" spans="2:15" ht="16.5" thickBot="1" x14ac:dyDescent="0.45">
      <c r="B77" s="4" t="s">
        <v>0</v>
      </c>
      <c r="C77" s="6" t="s">
        <v>1</v>
      </c>
      <c r="E77" s="4" t="s">
        <v>0</v>
      </c>
      <c r="F77" s="6" t="s">
        <v>1</v>
      </c>
      <c r="H77" s="4" t="s">
        <v>0</v>
      </c>
      <c r="I77" s="6" t="s">
        <v>1</v>
      </c>
      <c r="J77" s="3"/>
      <c r="K77" s="4" t="s">
        <v>0</v>
      </c>
      <c r="L77" s="6" t="s">
        <v>1</v>
      </c>
      <c r="M77" s="3"/>
      <c r="N77" s="4" t="s">
        <v>0</v>
      </c>
      <c r="O77" s="6" t="s">
        <v>1</v>
      </c>
    </row>
    <row r="78" spans="2:15" ht="15" thickTop="1" x14ac:dyDescent="0.35">
      <c r="B78" s="5" t="s">
        <v>17</v>
      </c>
      <c r="C78" s="7">
        <v>36.6</v>
      </c>
      <c r="E78" s="5" t="s">
        <v>17</v>
      </c>
      <c r="F78" s="7"/>
      <c r="H78" s="5" t="s">
        <v>17</v>
      </c>
      <c r="I78" s="7"/>
      <c r="K78" s="5" t="s">
        <v>17</v>
      </c>
      <c r="L78" s="7"/>
      <c r="N78" s="5" t="s">
        <v>17</v>
      </c>
      <c r="O78" s="7"/>
    </row>
    <row r="79" spans="2:15" x14ac:dyDescent="0.35">
      <c r="B79" s="5" t="s">
        <v>16</v>
      </c>
      <c r="C79" s="7">
        <v>27.25</v>
      </c>
      <c r="E79" s="5" t="s">
        <v>16</v>
      </c>
      <c r="F79" s="7"/>
      <c r="H79" s="5" t="s">
        <v>16</v>
      </c>
      <c r="I79" s="7"/>
      <c r="K79" s="5" t="s">
        <v>16</v>
      </c>
      <c r="L79" s="7"/>
      <c r="N79" s="5" t="s">
        <v>16</v>
      </c>
      <c r="O79" s="7"/>
    </row>
    <row r="80" spans="2:15" x14ac:dyDescent="0.35">
      <c r="B80" s="5" t="s">
        <v>15</v>
      </c>
      <c r="C80" s="7">
        <v>34.369999999999997</v>
      </c>
      <c r="E80" s="5" t="s">
        <v>15</v>
      </c>
      <c r="F80" s="7"/>
      <c r="H80" s="5" t="s">
        <v>15</v>
      </c>
      <c r="I80" s="7"/>
      <c r="K80" s="5" t="s">
        <v>15</v>
      </c>
      <c r="L80" s="7"/>
      <c r="N80" s="5" t="s">
        <v>15</v>
      </c>
      <c r="O80" s="7"/>
    </row>
    <row r="81" spans="2:15" x14ac:dyDescent="0.35">
      <c r="B81" s="5" t="s">
        <v>14</v>
      </c>
      <c r="C81" s="7">
        <v>25.03</v>
      </c>
      <c r="E81" s="5" t="s">
        <v>14</v>
      </c>
      <c r="F81" s="7"/>
      <c r="H81" s="5" t="s">
        <v>14</v>
      </c>
      <c r="I81" s="7"/>
      <c r="K81" s="5" t="s">
        <v>14</v>
      </c>
      <c r="L81" s="7"/>
      <c r="N81" s="5" t="s">
        <v>14</v>
      </c>
      <c r="O81" s="7"/>
    </row>
    <row r="82" spans="2:15" x14ac:dyDescent="0.35">
      <c r="B82" s="5" t="s">
        <v>24</v>
      </c>
      <c r="C82" s="7">
        <v>24.83</v>
      </c>
      <c r="E82" s="5" t="s">
        <v>24</v>
      </c>
      <c r="F82" s="7"/>
      <c r="H82" s="5" t="s">
        <v>24</v>
      </c>
      <c r="I82" s="7"/>
      <c r="K82" s="5" t="s">
        <v>24</v>
      </c>
      <c r="L82" s="7"/>
      <c r="N82" s="5" t="s">
        <v>24</v>
      </c>
      <c r="O82" s="7"/>
    </row>
    <row r="83" spans="2:15" x14ac:dyDescent="0.35">
      <c r="B83" s="14" t="s">
        <v>13</v>
      </c>
      <c r="C83" s="15">
        <f>C80-C78</f>
        <v>-2.230000000000004</v>
      </c>
      <c r="E83" s="14" t="s">
        <v>13</v>
      </c>
      <c r="F83" s="15">
        <f>F80-F78</f>
        <v>0</v>
      </c>
      <c r="H83" s="14" t="s">
        <v>13</v>
      </c>
      <c r="I83" s="15">
        <f>I80-I78</f>
        <v>0</v>
      </c>
      <c r="K83" s="14" t="s">
        <v>13</v>
      </c>
      <c r="L83" s="15">
        <f>L80-L78</f>
        <v>0</v>
      </c>
      <c r="N83" s="14" t="s">
        <v>13</v>
      </c>
      <c r="O83" s="15">
        <f>O80-O78</f>
        <v>0</v>
      </c>
    </row>
    <row r="84" spans="2:15" x14ac:dyDescent="0.35">
      <c r="B84" s="14" t="s">
        <v>12</v>
      </c>
      <c r="C84" s="15">
        <f>C81-C79</f>
        <v>-2.2199999999999989</v>
      </c>
      <c r="E84" s="14" t="s">
        <v>12</v>
      </c>
      <c r="F84" s="15">
        <f>F81-F79</f>
        <v>0</v>
      </c>
      <c r="H84" s="14" t="s">
        <v>12</v>
      </c>
      <c r="I84" s="15">
        <f>I81-I79</f>
        <v>0</v>
      </c>
      <c r="K84" s="14" t="s">
        <v>12</v>
      </c>
      <c r="L84" s="15">
        <f>L81-L79</f>
        <v>0</v>
      </c>
      <c r="N84" s="14" t="s">
        <v>12</v>
      </c>
      <c r="O84" s="15">
        <f>O81-O79</f>
        <v>0</v>
      </c>
    </row>
    <row r="85" spans="2:15" x14ac:dyDescent="0.35">
      <c r="B85" s="16" t="s">
        <v>9</v>
      </c>
      <c r="C85" s="17">
        <f>C82+(C79-C82)*0.63</f>
        <v>26.354599999999998</v>
      </c>
      <c r="E85" s="16" t="s">
        <v>9</v>
      </c>
      <c r="F85" s="17">
        <f>F82+(F79-F82)*0.63</f>
        <v>0</v>
      </c>
      <c r="H85" s="16" t="s">
        <v>9</v>
      </c>
      <c r="I85" s="17">
        <f>I82+(I79-I82)*0.63</f>
        <v>0</v>
      </c>
      <c r="K85" s="16" t="s">
        <v>9</v>
      </c>
      <c r="L85" s="17">
        <f>L82+(L79-L82)*0.63</f>
        <v>0</v>
      </c>
      <c r="N85" s="16" t="s">
        <v>9</v>
      </c>
      <c r="O85" s="17">
        <f>O82+(O79-O82)*0.63</f>
        <v>0</v>
      </c>
    </row>
    <row r="86" spans="2:15" x14ac:dyDescent="0.35">
      <c r="B86" s="9" t="s">
        <v>2</v>
      </c>
      <c r="C86" s="10">
        <f>(C83-C84)/(C78-C79)</f>
        <v>-1.069518716578087E-3</v>
      </c>
      <c r="E86" s="9" t="s">
        <v>2</v>
      </c>
      <c r="F86" s="10" t="e">
        <f>(F83-F84)/(F78-F79)</f>
        <v>#DIV/0!</v>
      </c>
      <c r="H86" s="9" t="s">
        <v>2</v>
      </c>
      <c r="I86" s="10" t="e">
        <f>(I83-I84)/(I78-I79)</f>
        <v>#DIV/0!</v>
      </c>
      <c r="K86" s="9" t="s">
        <v>2</v>
      </c>
      <c r="L86" s="10" t="e">
        <f>(L83-L84)/(L78-L79)</f>
        <v>#DIV/0!</v>
      </c>
      <c r="N86" s="9" t="s">
        <v>2</v>
      </c>
      <c r="O86" s="10" t="e">
        <f>(O83-O84)/(O78-O79)</f>
        <v>#DIV/0!</v>
      </c>
    </row>
    <row r="87" spans="2:15" x14ac:dyDescent="0.35">
      <c r="B87" s="9" t="s">
        <v>10</v>
      </c>
      <c r="C87" s="11">
        <f>C84-C79*C86</f>
        <v>-2.1908556149732461</v>
      </c>
      <c r="E87" s="9" t="s">
        <v>10</v>
      </c>
      <c r="F87" s="11" t="e">
        <f>F84-F79*F86</f>
        <v>#DIV/0!</v>
      </c>
      <c r="H87" s="9" t="s">
        <v>10</v>
      </c>
      <c r="I87" s="11" t="e">
        <f>I84-I79*I86</f>
        <v>#DIV/0!</v>
      </c>
      <c r="K87" s="9" t="s">
        <v>10</v>
      </c>
      <c r="L87" s="11" t="e">
        <f>L84-L79*L86</f>
        <v>#DIV/0!</v>
      </c>
      <c r="N87" s="9" t="s">
        <v>10</v>
      </c>
      <c r="O87" s="11" t="e">
        <f>O84-O79*O86</f>
        <v>#DIV/0!</v>
      </c>
    </row>
    <row r="88" spans="2:15" ht="15" thickBot="1" x14ac:dyDescent="0.4">
      <c r="B88" s="12" t="s">
        <v>11</v>
      </c>
      <c r="C88" s="13">
        <v>1818</v>
      </c>
      <c r="E88" s="12" t="s">
        <v>11</v>
      </c>
      <c r="F88" s="13"/>
      <c r="H88" s="12" t="s">
        <v>11</v>
      </c>
      <c r="I88" s="13"/>
      <c r="K88" s="12" t="s">
        <v>11</v>
      </c>
      <c r="L88" s="13"/>
      <c r="N88" s="12" t="s">
        <v>11</v>
      </c>
      <c r="O88" s="13"/>
    </row>
    <row r="89" spans="2:15" ht="15" thickTop="1" x14ac:dyDescent="0.35"/>
    <row r="90" spans="2:15" ht="24" thickBot="1" x14ac:dyDescent="0.6">
      <c r="B90" s="18" t="s">
        <v>25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2:15" ht="16.5" thickTop="1" x14ac:dyDescent="0.4">
      <c r="B91" s="19" t="s">
        <v>7</v>
      </c>
      <c r="C91" s="20"/>
      <c r="E91" s="19" t="s">
        <v>3</v>
      </c>
      <c r="F91" s="20"/>
      <c r="H91" s="19" t="s">
        <v>4</v>
      </c>
      <c r="I91" s="20"/>
      <c r="J91" s="2"/>
      <c r="K91" s="19" t="s">
        <v>6</v>
      </c>
      <c r="L91" s="20"/>
      <c r="M91" s="2"/>
      <c r="N91" s="19" t="s">
        <v>5</v>
      </c>
      <c r="O91" s="20"/>
    </row>
    <row r="92" spans="2:15" ht="16.5" thickBot="1" x14ac:dyDescent="0.45">
      <c r="B92" s="4" t="s">
        <v>0</v>
      </c>
      <c r="C92" s="6" t="s">
        <v>1</v>
      </c>
      <c r="E92" s="4" t="s">
        <v>0</v>
      </c>
      <c r="F92" s="6" t="s">
        <v>1</v>
      </c>
      <c r="H92" s="4" t="s">
        <v>0</v>
      </c>
      <c r="I92" s="6" t="s">
        <v>1</v>
      </c>
      <c r="J92" s="3"/>
      <c r="K92" s="4" t="s">
        <v>0</v>
      </c>
      <c r="L92" s="6" t="s">
        <v>1</v>
      </c>
      <c r="M92" s="3"/>
      <c r="N92" s="4" t="s">
        <v>0</v>
      </c>
      <c r="O92" s="6" t="s">
        <v>1</v>
      </c>
    </row>
    <row r="93" spans="2:15" ht="15" thickTop="1" x14ac:dyDescent="0.35">
      <c r="B93" s="5" t="s">
        <v>17</v>
      </c>
      <c r="C93" s="7">
        <v>36.770000000000003</v>
      </c>
      <c r="E93" s="5" t="s">
        <v>17</v>
      </c>
      <c r="F93" s="7"/>
      <c r="H93" s="5" t="s">
        <v>17</v>
      </c>
      <c r="I93" s="7"/>
      <c r="K93" s="5" t="s">
        <v>17</v>
      </c>
      <c r="L93" s="7"/>
      <c r="N93" s="5" t="s">
        <v>17</v>
      </c>
      <c r="O93" s="7"/>
    </row>
    <row r="94" spans="2:15" x14ac:dyDescent="0.35">
      <c r="B94" s="5" t="s">
        <v>16</v>
      </c>
      <c r="C94" s="7">
        <v>27.35</v>
      </c>
      <c r="E94" s="5" t="s">
        <v>16</v>
      </c>
      <c r="F94" s="7"/>
      <c r="H94" s="5" t="s">
        <v>16</v>
      </c>
      <c r="I94" s="7"/>
      <c r="K94" s="5" t="s">
        <v>16</v>
      </c>
      <c r="L94" s="7"/>
      <c r="N94" s="5" t="s">
        <v>16</v>
      </c>
      <c r="O94" s="7"/>
    </row>
    <row r="95" spans="2:15" x14ac:dyDescent="0.35">
      <c r="B95" s="5" t="s">
        <v>15</v>
      </c>
      <c r="C95" s="7">
        <v>34.76</v>
      </c>
      <c r="E95" s="5" t="s">
        <v>15</v>
      </c>
      <c r="F95" s="7"/>
      <c r="H95" s="5" t="s">
        <v>15</v>
      </c>
      <c r="I95" s="7"/>
      <c r="K95" s="5" t="s">
        <v>15</v>
      </c>
      <c r="L95" s="7"/>
      <c r="N95" s="5" t="s">
        <v>15</v>
      </c>
      <c r="O95" s="7"/>
    </row>
    <row r="96" spans="2:15" x14ac:dyDescent="0.35">
      <c r="B96" s="5" t="s">
        <v>14</v>
      </c>
      <c r="C96" s="7">
        <v>25.2</v>
      </c>
      <c r="E96" s="5" t="s">
        <v>14</v>
      </c>
      <c r="F96" s="7"/>
      <c r="H96" s="5" t="s">
        <v>14</v>
      </c>
      <c r="I96" s="7"/>
      <c r="K96" s="5" t="s">
        <v>14</v>
      </c>
      <c r="L96" s="7"/>
      <c r="N96" s="5" t="s">
        <v>14</v>
      </c>
      <c r="O96" s="7"/>
    </row>
    <row r="97" spans="2:15" x14ac:dyDescent="0.35">
      <c r="B97" s="5" t="s">
        <v>24</v>
      </c>
      <c r="C97" s="7">
        <v>24.99</v>
      </c>
      <c r="E97" s="5" t="s">
        <v>24</v>
      </c>
      <c r="F97" s="7"/>
      <c r="H97" s="5" t="s">
        <v>24</v>
      </c>
      <c r="I97" s="7"/>
      <c r="K97" s="5" t="s">
        <v>24</v>
      </c>
      <c r="L97" s="7"/>
      <c r="N97" s="5" t="s">
        <v>24</v>
      </c>
      <c r="O97" s="7"/>
    </row>
    <row r="98" spans="2:15" x14ac:dyDescent="0.35">
      <c r="B98" s="14" t="s">
        <v>13</v>
      </c>
      <c r="C98" s="15">
        <f>C95-C93</f>
        <v>-2.0100000000000051</v>
      </c>
      <c r="E98" s="14" t="s">
        <v>13</v>
      </c>
      <c r="F98" s="15">
        <f>F95-F93</f>
        <v>0</v>
      </c>
      <c r="H98" s="14" t="s">
        <v>13</v>
      </c>
      <c r="I98" s="15">
        <f>I95-I93</f>
        <v>0</v>
      </c>
      <c r="K98" s="14" t="s">
        <v>13</v>
      </c>
      <c r="L98" s="15">
        <f>L95-L93</f>
        <v>0</v>
      </c>
      <c r="N98" s="14" t="s">
        <v>13</v>
      </c>
      <c r="O98" s="15">
        <f>O95-O93</f>
        <v>0</v>
      </c>
    </row>
    <row r="99" spans="2:15" x14ac:dyDescent="0.35">
      <c r="B99" s="14" t="s">
        <v>12</v>
      </c>
      <c r="C99" s="15">
        <f>C96-C94</f>
        <v>-2.1500000000000021</v>
      </c>
      <c r="E99" s="14" t="s">
        <v>12</v>
      </c>
      <c r="F99" s="15">
        <f>F96-F94</f>
        <v>0</v>
      </c>
      <c r="H99" s="14" t="s">
        <v>12</v>
      </c>
      <c r="I99" s="15">
        <f>I96-I94</f>
        <v>0</v>
      </c>
      <c r="K99" s="14" t="s">
        <v>12</v>
      </c>
      <c r="L99" s="15">
        <f>L96-L94</f>
        <v>0</v>
      </c>
      <c r="N99" s="14" t="s">
        <v>12</v>
      </c>
      <c r="O99" s="15">
        <f>O96-O94</f>
        <v>0</v>
      </c>
    </row>
    <row r="100" spans="2:15" x14ac:dyDescent="0.35">
      <c r="B100" s="16" t="s">
        <v>9</v>
      </c>
      <c r="C100" s="17">
        <f>C97+(C94-C97)*0.63</f>
        <v>26.476800000000001</v>
      </c>
      <c r="E100" s="16" t="s">
        <v>9</v>
      </c>
      <c r="F100" s="17">
        <f>F97+(F94-F97)*0.63</f>
        <v>0</v>
      </c>
      <c r="H100" s="16" t="s">
        <v>9</v>
      </c>
      <c r="I100" s="17">
        <f>I97+(I94-I97)*0.63</f>
        <v>0</v>
      </c>
      <c r="K100" s="16" t="s">
        <v>9</v>
      </c>
      <c r="L100" s="17">
        <f>L97+(L94-L97)*0.63</f>
        <v>0</v>
      </c>
      <c r="N100" s="16" t="s">
        <v>9</v>
      </c>
      <c r="O100" s="17">
        <f>O97+(O94-O97)*0.63</f>
        <v>0</v>
      </c>
    </row>
    <row r="101" spans="2:15" x14ac:dyDescent="0.35">
      <c r="B101" s="9" t="s">
        <v>2</v>
      </c>
      <c r="C101" s="10">
        <f>(C98-C99)/(C93-C94)</f>
        <v>1.486199575371518E-2</v>
      </c>
      <c r="E101" s="9" t="s">
        <v>2</v>
      </c>
      <c r="F101" s="10" t="e">
        <f>(F98-F99)/(F93-F94)</f>
        <v>#DIV/0!</v>
      </c>
      <c r="H101" s="9" t="s">
        <v>2</v>
      </c>
      <c r="I101" s="10" t="e">
        <f>(I98-I99)/(I93-I94)</f>
        <v>#DIV/0!</v>
      </c>
      <c r="K101" s="9" t="s">
        <v>2</v>
      </c>
      <c r="L101" s="10" t="e">
        <f>(L98-L99)/(L93-L94)</f>
        <v>#DIV/0!</v>
      </c>
      <c r="N101" s="9" t="s">
        <v>2</v>
      </c>
      <c r="O101" s="10" t="e">
        <f>(O98-O99)/(O93-O94)</f>
        <v>#DIV/0!</v>
      </c>
    </row>
    <row r="102" spans="2:15" x14ac:dyDescent="0.35">
      <c r="B102" s="9" t="s">
        <v>10</v>
      </c>
      <c r="C102" s="11">
        <f>C99-C94*C101</f>
        <v>-2.5564755838641124</v>
      </c>
      <c r="E102" s="9" t="s">
        <v>10</v>
      </c>
      <c r="F102" s="11" t="e">
        <f>F99-F94*F101</f>
        <v>#DIV/0!</v>
      </c>
      <c r="H102" s="9" t="s">
        <v>10</v>
      </c>
      <c r="I102" s="11" t="e">
        <f>I99-I94*I101</f>
        <v>#DIV/0!</v>
      </c>
      <c r="K102" s="9" t="s">
        <v>10</v>
      </c>
      <c r="L102" s="11" t="e">
        <f>L99-L94*L101</f>
        <v>#DIV/0!</v>
      </c>
      <c r="N102" s="9" t="s">
        <v>10</v>
      </c>
      <c r="O102" s="11" t="e">
        <f>O99-O94*O101</f>
        <v>#DIV/0!</v>
      </c>
    </row>
    <row r="103" spans="2:15" ht="15" thickBot="1" x14ac:dyDescent="0.4">
      <c r="B103" s="12" t="s">
        <v>11</v>
      </c>
      <c r="C103" s="13">
        <v>1696</v>
      </c>
      <c r="E103" s="12" t="s">
        <v>11</v>
      </c>
      <c r="F103" s="13"/>
      <c r="H103" s="12" t="s">
        <v>11</v>
      </c>
      <c r="I103" s="13"/>
      <c r="K103" s="12" t="s">
        <v>11</v>
      </c>
      <c r="L103" s="13"/>
      <c r="N103" s="12" t="s">
        <v>11</v>
      </c>
      <c r="O103" s="13"/>
    </row>
    <row r="104" spans="2:15" ht="15" thickTop="1" x14ac:dyDescent="0.35"/>
    <row r="105" spans="2:15" ht="24" thickBot="1" x14ac:dyDescent="0.6">
      <c r="B105" s="18" t="s">
        <v>26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2:15" ht="16.5" thickTop="1" x14ac:dyDescent="0.4">
      <c r="B106" s="19" t="s">
        <v>7</v>
      </c>
      <c r="C106" s="20"/>
      <c r="E106" s="19" t="s">
        <v>3</v>
      </c>
      <c r="F106" s="20"/>
      <c r="H106" s="19" t="s">
        <v>4</v>
      </c>
      <c r="I106" s="20"/>
      <c r="J106" s="2"/>
      <c r="K106" s="19" t="s">
        <v>6</v>
      </c>
      <c r="L106" s="20"/>
      <c r="M106" s="2"/>
      <c r="N106" s="19" t="s">
        <v>5</v>
      </c>
      <c r="O106" s="20"/>
    </row>
    <row r="107" spans="2:15" ht="16.5" thickBot="1" x14ac:dyDescent="0.45">
      <c r="B107" s="4" t="s">
        <v>0</v>
      </c>
      <c r="C107" s="6" t="s">
        <v>1</v>
      </c>
      <c r="E107" s="4" t="s">
        <v>0</v>
      </c>
      <c r="F107" s="6" t="s">
        <v>1</v>
      </c>
      <c r="H107" s="4" t="s">
        <v>0</v>
      </c>
      <c r="I107" s="6" t="s">
        <v>1</v>
      </c>
      <c r="J107" s="3"/>
      <c r="K107" s="4" t="s">
        <v>0</v>
      </c>
      <c r="L107" s="6" t="s">
        <v>1</v>
      </c>
      <c r="M107" s="3"/>
      <c r="N107" s="4" t="s">
        <v>0</v>
      </c>
      <c r="O107" s="6" t="s">
        <v>1</v>
      </c>
    </row>
    <row r="108" spans="2:15" ht="15" thickTop="1" x14ac:dyDescent="0.35">
      <c r="B108" s="5" t="s">
        <v>17</v>
      </c>
      <c r="C108" s="7">
        <v>36.770000000000003</v>
      </c>
      <c r="E108" s="5" t="s">
        <v>17</v>
      </c>
      <c r="F108" s="7"/>
      <c r="H108" s="5" t="s">
        <v>17</v>
      </c>
      <c r="I108" s="7"/>
      <c r="K108" s="5" t="s">
        <v>17</v>
      </c>
      <c r="L108" s="7"/>
      <c r="N108" s="5" t="s">
        <v>17</v>
      </c>
      <c r="O108" s="7"/>
    </row>
    <row r="109" spans="2:15" x14ac:dyDescent="0.35">
      <c r="B109" s="5" t="s">
        <v>16</v>
      </c>
      <c r="C109" s="7">
        <v>27.33</v>
      </c>
      <c r="E109" s="5" t="s">
        <v>16</v>
      </c>
      <c r="F109" s="7"/>
      <c r="H109" s="5" t="s">
        <v>16</v>
      </c>
      <c r="I109" s="7"/>
      <c r="K109" s="5" t="s">
        <v>16</v>
      </c>
      <c r="L109" s="7"/>
      <c r="N109" s="5" t="s">
        <v>16</v>
      </c>
      <c r="O109" s="7"/>
    </row>
    <row r="110" spans="2:15" x14ac:dyDescent="0.35">
      <c r="B110" s="5" t="s">
        <v>15</v>
      </c>
      <c r="C110" s="7">
        <v>34.700000000000003</v>
      </c>
      <c r="E110" s="5" t="s">
        <v>15</v>
      </c>
      <c r="F110" s="7"/>
      <c r="H110" s="5" t="s">
        <v>15</v>
      </c>
      <c r="I110" s="7"/>
      <c r="K110" s="5" t="s">
        <v>15</v>
      </c>
      <c r="L110" s="7"/>
      <c r="N110" s="5" t="s">
        <v>15</v>
      </c>
      <c r="O110" s="7"/>
    </row>
    <row r="111" spans="2:15" x14ac:dyDescent="0.35">
      <c r="B111" s="5" t="s">
        <v>14</v>
      </c>
      <c r="C111" s="7">
        <v>25.21</v>
      </c>
      <c r="E111" s="5" t="s">
        <v>14</v>
      </c>
      <c r="F111" s="7"/>
      <c r="H111" s="5" t="s">
        <v>14</v>
      </c>
      <c r="I111" s="7"/>
      <c r="K111" s="5" t="s">
        <v>14</v>
      </c>
      <c r="L111" s="7"/>
      <c r="N111" s="5" t="s">
        <v>14</v>
      </c>
      <c r="O111" s="7"/>
    </row>
    <row r="112" spans="2:15" x14ac:dyDescent="0.35">
      <c r="B112" s="5" t="s">
        <v>24</v>
      </c>
      <c r="C112" s="7">
        <v>25.08</v>
      </c>
      <c r="E112" s="5" t="s">
        <v>24</v>
      </c>
      <c r="F112" s="7"/>
      <c r="H112" s="5" t="s">
        <v>24</v>
      </c>
      <c r="I112" s="7"/>
      <c r="K112" s="5" t="s">
        <v>24</v>
      </c>
      <c r="L112" s="7"/>
      <c r="N112" s="5" t="s">
        <v>24</v>
      </c>
      <c r="O112" s="7"/>
    </row>
    <row r="113" spans="2:15" x14ac:dyDescent="0.35">
      <c r="B113" s="14" t="s">
        <v>13</v>
      </c>
      <c r="C113" s="15">
        <f>C110-C108</f>
        <v>-2.0700000000000003</v>
      </c>
      <c r="E113" s="14" t="s">
        <v>13</v>
      </c>
      <c r="F113" s="15">
        <f>F110-F108</f>
        <v>0</v>
      </c>
      <c r="H113" s="14" t="s">
        <v>13</v>
      </c>
      <c r="I113" s="15">
        <f>I110-I108</f>
        <v>0</v>
      </c>
      <c r="K113" s="14" t="s">
        <v>13</v>
      </c>
      <c r="L113" s="15">
        <f>L110-L108</f>
        <v>0</v>
      </c>
      <c r="N113" s="14" t="s">
        <v>13</v>
      </c>
      <c r="O113" s="15">
        <f>O110-O108</f>
        <v>0</v>
      </c>
    </row>
    <row r="114" spans="2:15" x14ac:dyDescent="0.35">
      <c r="B114" s="14" t="s">
        <v>12</v>
      </c>
      <c r="C114" s="15">
        <f>C111-C109</f>
        <v>-2.1199999999999974</v>
      </c>
      <c r="E114" s="14" t="s">
        <v>12</v>
      </c>
      <c r="F114" s="15">
        <f>F111-F109</f>
        <v>0</v>
      </c>
      <c r="H114" s="14" t="s">
        <v>12</v>
      </c>
      <c r="I114" s="15">
        <f>I111-I109</f>
        <v>0</v>
      </c>
      <c r="K114" s="14" t="s">
        <v>12</v>
      </c>
      <c r="L114" s="15">
        <f>L111-L109</f>
        <v>0</v>
      </c>
      <c r="N114" s="14" t="s">
        <v>12</v>
      </c>
      <c r="O114" s="15">
        <f>O111-O109</f>
        <v>0</v>
      </c>
    </row>
    <row r="115" spans="2:15" x14ac:dyDescent="0.35">
      <c r="B115" s="16" t="s">
        <v>9</v>
      </c>
      <c r="C115" s="17">
        <f>C112+(C109-C112)*0.63</f>
        <v>26.497499999999999</v>
      </c>
      <c r="E115" s="16" t="s">
        <v>9</v>
      </c>
      <c r="F115" s="17">
        <f>F112+(F109-F112)*0.63</f>
        <v>0</v>
      </c>
      <c r="H115" s="16" t="s">
        <v>9</v>
      </c>
      <c r="I115" s="17">
        <f>I112+(I109-I112)*0.63</f>
        <v>0</v>
      </c>
      <c r="K115" s="16" t="s">
        <v>9</v>
      </c>
      <c r="L115" s="17">
        <f>L112+(L109-L112)*0.63</f>
        <v>0</v>
      </c>
      <c r="N115" s="16" t="s">
        <v>9</v>
      </c>
      <c r="O115" s="17">
        <f>O112+(O109-O112)*0.63</f>
        <v>0</v>
      </c>
    </row>
    <row r="116" spans="2:15" x14ac:dyDescent="0.35">
      <c r="B116" s="9" t="s">
        <v>2</v>
      </c>
      <c r="C116" s="10">
        <f>(C113-C114)/(C108-C109)</f>
        <v>5.2966101694912216E-3</v>
      </c>
      <c r="E116" s="9" t="s">
        <v>2</v>
      </c>
      <c r="F116" s="10" t="e">
        <f>(F113-F114)/(F108-F109)</f>
        <v>#DIV/0!</v>
      </c>
      <c r="H116" s="9" t="s">
        <v>2</v>
      </c>
      <c r="I116" s="10" t="e">
        <f>(I113-I114)/(I108-I109)</f>
        <v>#DIV/0!</v>
      </c>
      <c r="K116" s="9" t="s">
        <v>2</v>
      </c>
      <c r="L116" s="10" t="e">
        <f>(L113-L114)/(L108-L109)</f>
        <v>#DIV/0!</v>
      </c>
      <c r="N116" s="9" t="s">
        <v>2</v>
      </c>
      <c r="O116" s="10" t="e">
        <f>(O113-O114)/(O108-O109)</f>
        <v>#DIV/0!</v>
      </c>
    </row>
    <row r="117" spans="2:15" x14ac:dyDescent="0.35">
      <c r="B117" s="9" t="s">
        <v>10</v>
      </c>
      <c r="C117" s="11">
        <f>C114-C109*C116</f>
        <v>-2.2647563559321924</v>
      </c>
      <c r="E117" s="9" t="s">
        <v>10</v>
      </c>
      <c r="F117" s="11" t="e">
        <f>F114-F109*F116</f>
        <v>#DIV/0!</v>
      </c>
      <c r="H117" s="9" t="s">
        <v>10</v>
      </c>
      <c r="I117" s="11" t="e">
        <f>I114-I109*I116</f>
        <v>#DIV/0!</v>
      </c>
      <c r="K117" s="9" t="s">
        <v>10</v>
      </c>
      <c r="L117" s="11" t="e">
        <f>L114-L109*L116</f>
        <v>#DIV/0!</v>
      </c>
      <c r="N117" s="9" t="s">
        <v>10</v>
      </c>
      <c r="O117" s="11" t="e">
        <f>O114-O109*O116</f>
        <v>#DIV/0!</v>
      </c>
    </row>
    <row r="118" spans="2:15" ht="15" thickBot="1" x14ac:dyDescent="0.4">
      <c r="B118" s="12" t="s">
        <v>11</v>
      </c>
      <c r="C118" s="13">
        <v>1594</v>
      </c>
      <c r="E118" s="12" t="s">
        <v>11</v>
      </c>
      <c r="F118" s="13"/>
      <c r="H118" s="12" t="s">
        <v>11</v>
      </c>
      <c r="I118" s="13"/>
      <c r="K118" s="12" t="s">
        <v>11</v>
      </c>
      <c r="L118" s="13"/>
      <c r="N118" s="12" t="s">
        <v>11</v>
      </c>
      <c r="O118" s="13"/>
    </row>
    <row r="119" spans="2:15" ht="15" thickTop="1" x14ac:dyDescent="0.35"/>
  </sheetData>
  <mergeCells count="50">
    <mergeCell ref="B105:O105"/>
    <mergeCell ref="B106:C106"/>
    <mergeCell ref="E106:F106"/>
    <mergeCell ref="H106:I106"/>
    <mergeCell ref="K106:L106"/>
    <mergeCell ref="N106:O106"/>
    <mergeCell ref="B90:O90"/>
    <mergeCell ref="B91:C91"/>
    <mergeCell ref="E91:F91"/>
    <mergeCell ref="H91:I91"/>
    <mergeCell ref="K91:L91"/>
    <mergeCell ref="N91:O91"/>
    <mergeCell ref="B75:O75"/>
    <mergeCell ref="B76:C76"/>
    <mergeCell ref="E76:F76"/>
    <mergeCell ref="H76:I76"/>
    <mergeCell ref="K76:L76"/>
    <mergeCell ref="N76:O76"/>
    <mergeCell ref="B58:O58"/>
    <mergeCell ref="B60:O60"/>
    <mergeCell ref="B61:C61"/>
    <mergeCell ref="E61:F61"/>
    <mergeCell ref="H61:I61"/>
    <mergeCell ref="K61:L61"/>
    <mergeCell ref="N61:O61"/>
    <mergeCell ref="B1:O1"/>
    <mergeCell ref="H3:I3"/>
    <mergeCell ref="K3:L3"/>
    <mergeCell ref="N3:O3"/>
    <mergeCell ref="E3:F3"/>
    <mergeCell ref="E17:F17"/>
    <mergeCell ref="B3:C3"/>
    <mergeCell ref="B17:C17"/>
    <mergeCell ref="B2:O2"/>
    <mergeCell ref="B16:O16"/>
    <mergeCell ref="H17:I17"/>
    <mergeCell ref="K17:L17"/>
    <mergeCell ref="N17:O17"/>
    <mergeCell ref="B30:O30"/>
    <mergeCell ref="B31:C31"/>
    <mergeCell ref="E31:F31"/>
    <mergeCell ref="H31:I31"/>
    <mergeCell ref="K31:L31"/>
    <mergeCell ref="N31:O31"/>
    <mergeCell ref="B44:O44"/>
    <mergeCell ref="B45:C45"/>
    <mergeCell ref="E45:F45"/>
    <mergeCell ref="H45:I45"/>
    <mergeCell ref="K45:L45"/>
    <mergeCell ref="N45:O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Lawrence</dc:creator>
  <cp:lastModifiedBy>Mike Lawrence</cp:lastModifiedBy>
  <dcterms:created xsi:type="dcterms:W3CDTF">2026-08-01T09:56:23Z</dcterms:created>
  <dcterms:modified xsi:type="dcterms:W3CDTF">2026-09-09T04:12:40Z</dcterms:modified>
</cp:coreProperties>
</file>